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drawings/drawing3.xml" ContentType="application/vnd.openxmlformats-officedocument.drawing+xml"/>
  <Override PartName="/xl/comments9.xml" ContentType="application/vnd.openxmlformats-officedocument.spreadsheetml.comments+xml"/>
  <Override PartName="/xl/drawings/drawing4.xml" ContentType="application/vnd.openxmlformats-officedocument.drawing+xml"/>
  <Override PartName="/xl/comments10.xml" ContentType="application/vnd.openxmlformats-officedocument.spreadsheetml.comments+xml"/>
  <Override PartName="/xl/drawings/drawing5.xml" ContentType="application/vnd.openxmlformats-officedocument.drawing+xml"/>
  <Override PartName="/xl/comments11.xml" ContentType="application/vnd.openxmlformats-officedocument.spreadsheetml.comments+xml"/>
  <Override PartName="/xl/drawings/drawing6.xml" ContentType="application/vnd.openxmlformats-officedocument.drawing+xml"/>
  <Override PartName="/xl/comments12.xml" ContentType="application/vnd.openxmlformats-officedocument.spreadsheetml.comments+xml"/>
  <Override PartName="/xl/drawings/drawing7.xml" ContentType="application/vnd.openxmlformats-officedocument.drawing+xml"/>
  <Override PartName="/xl/comments13.xml" ContentType="application/vnd.openxmlformats-officedocument.spreadsheetml.comments+xml"/>
  <Override PartName="/xl/drawings/drawing8.xml" ContentType="application/vnd.openxmlformats-officedocument.drawing+xml"/>
  <Override PartName="/xl/comments14.xml" ContentType="application/vnd.openxmlformats-officedocument.spreadsheetml.comments+xml"/>
  <Override PartName="/xl/drawings/drawing9.xml" ContentType="application/vnd.openxmlformats-officedocument.drawing+xml"/>
  <Override PartName="/xl/comments15.xml" ContentType="application/vnd.openxmlformats-officedocument.spreadsheetml.comments+xml"/>
  <Override PartName="/xl/drawings/drawing10.xml" ContentType="application/vnd.openxmlformats-officedocument.drawing+xml"/>
  <Override PartName="/xl/comments16.xml" ContentType="application/vnd.openxmlformats-officedocument.spreadsheetml.comments+xml"/>
  <Override PartName="/xl/drawings/drawing11.xml" ContentType="application/vnd.openxmlformats-officedocument.drawing+xml"/>
  <Override PartName="/xl/comments17.xml" ContentType="application/vnd.openxmlformats-officedocument.spreadsheetml.comments+xml"/>
  <Override PartName="/xl/drawings/drawing12.xml" ContentType="application/vnd.openxmlformats-officedocument.drawing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opbox\אהובה\תחבורה עיסקי 2026\רשות שדות התעופה\כללי-אהובה\2026 חשבוניות עיסקה\"/>
    </mc:Choice>
  </mc:AlternateContent>
  <xr:revisionPtr revIDLastSave="0" documentId="13_ncr:1_{E7F59A2E-6E3A-41AF-8CE9-47F26E42E20C}" xr6:coauthVersionLast="47" xr6:coauthVersionMax="47" xr10:uidLastSave="{00000000-0000-0000-0000-000000000000}"/>
  <bookViews>
    <workbookView xWindow="-110" yWindow="-110" windowWidth="25820" windowHeight="13900" firstSheet="10" activeTab="17" xr2:uid="{00000000-000D-0000-FFFF-FFFF00000000}"/>
  </bookViews>
  <sheets>
    <sheet name="תעריפים" sheetId="5" r:id="rId1"/>
    <sheet name="דצמבר 2024" sheetId="4" r:id="rId2"/>
    <sheet name="ינואר 2025" sheetId="1" r:id="rId3"/>
    <sheet name="פברואר 2025" sheetId="3" r:id="rId4"/>
    <sheet name="מרץ 2025 " sheetId="6" r:id="rId5"/>
    <sheet name="אפריל 2025  " sheetId="7" r:id="rId6"/>
    <sheet name="מאי 2025 " sheetId="8" r:id="rId7"/>
    <sheet name="יוני 2025  " sheetId="9" r:id="rId8"/>
    <sheet name="יולי 2025  " sheetId="11" r:id="rId9"/>
    <sheet name="אוג 2025 " sheetId="12" r:id="rId10"/>
    <sheet name="ספט 2025  " sheetId="14" r:id="rId11"/>
    <sheet name="אוקטובר 2025   " sheetId="15" r:id="rId12"/>
    <sheet name="נובמבר 2025  " sheetId="16" r:id="rId13"/>
    <sheet name="דצמבר 2025 " sheetId="17" r:id="rId14"/>
    <sheet name="ינואר 2026" sheetId="18" r:id="rId15"/>
    <sheet name="פברואר  2026 " sheetId="19" r:id="rId16"/>
    <sheet name="מרץ  2026 " sheetId="21" r:id="rId17"/>
    <sheet name=" אפריל 2026 " sheetId="20" r:id="rId18"/>
    <sheet name="גיליון2" sheetId="10" r:id="rId19"/>
  </sheets>
  <definedNames>
    <definedName name="_xlnm.Print_Area" localSheetId="17">' אפריל 2026 '!$A$1:$I$58</definedName>
    <definedName name="_xlnm.Print_Area" localSheetId="9">'אוג 2025 '!$A$1:$I$57</definedName>
    <definedName name="_xlnm.Print_Area" localSheetId="11">'אוקטובר 2025   '!$A$1:$I$41</definedName>
    <definedName name="_xlnm.Print_Area" localSheetId="5">'אפריל 2025  '!$A$1:$I$52</definedName>
    <definedName name="_xlnm.Print_Area" localSheetId="13">'דצמבר 2025 '!$A$1:$I$52</definedName>
    <definedName name="_xlnm.Print_Area" localSheetId="8">'יולי 2025  '!$A$1:$J$62</definedName>
    <definedName name="_xlnm.Print_Area" localSheetId="7">'יוני 2025  '!$A$1:$J$43</definedName>
    <definedName name="_xlnm.Print_Area" localSheetId="14">'ינואר 2026'!$A$1:$I$64</definedName>
    <definedName name="_xlnm.Print_Area" localSheetId="6">'מאי 2025 '!$A$1:$J$49</definedName>
    <definedName name="_xlnm.Print_Area" localSheetId="16">'מרץ  2026 '!$A$1:$I$44</definedName>
    <definedName name="_xlnm.Print_Area" localSheetId="4">'מרץ 2025 '!$A$1:$I$55</definedName>
    <definedName name="_xlnm.Print_Area" localSheetId="12">'נובמבר 2025  '!$A$1:$I$62</definedName>
    <definedName name="_xlnm.Print_Area" localSheetId="10">'ספט 2025  '!$A$1:$I$52</definedName>
    <definedName name="_xlnm.Print_Area" localSheetId="15">'פברואר  2026 '!$A$1:$I$50</definedName>
    <definedName name="_xlnm.Print_Area" localSheetId="3">'פברואר 2025'!$A$1:$I$48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20" l="1"/>
  <c r="C25" i="21"/>
  <c r="D32" i="21"/>
  <c r="D31" i="19"/>
  <c r="D46" i="20"/>
  <c r="D38" i="19" l="1"/>
  <c r="C31" i="19"/>
  <c r="C45" i="18" l="1"/>
  <c r="D52" i="18"/>
  <c r="C35" i="17"/>
  <c r="D42" i="17"/>
  <c r="D50" i="16" l="1"/>
  <c r="C43" i="16"/>
  <c r="D29" i="15" l="1"/>
  <c r="C22" i="15"/>
  <c r="C33" i="14"/>
  <c r="D40" i="14"/>
  <c r="C38" i="12"/>
  <c r="D45" i="12"/>
  <c r="C44" i="11" l="1"/>
  <c r="D51" i="11"/>
  <c r="C24" i="9"/>
  <c r="D31" i="9"/>
  <c r="D37" i="8"/>
  <c r="C30" i="8"/>
  <c r="C33" i="7"/>
  <c r="D40" i="7"/>
  <c r="D43" i="6"/>
  <c r="C36" i="6"/>
  <c r="C31" i="3"/>
  <c r="D38" i="3"/>
  <c r="C27" i="5" l="1"/>
  <c r="C28" i="5" s="1"/>
  <c r="C29" i="5" s="1"/>
  <c r="C22" i="5"/>
  <c r="C21" i="4" l="1"/>
  <c r="C14" i="4"/>
  <c r="C29" i="1"/>
  <c r="C22" i="1"/>
  <c r="E14" i="4" l="1"/>
  <c r="D22" i="1" l="1"/>
  <c r="E22" i="1" s="1"/>
  <c r="D31" i="3" s="1"/>
  <c r="E31" i="3" s="1"/>
  <c r="D36" i="6" s="1"/>
  <c r="E36" i="6" s="1"/>
  <c r="D22" i="5"/>
  <c r="E22" i="5" s="1"/>
  <c r="D33" i="7" l="1"/>
  <c r="E33" i="7" s="1"/>
  <c r="D30" i="8" l="1"/>
  <c r="E30" i="8" s="1"/>
  <c r="D24" i="9" s="1"/>
  <c r="E24" i="9" s="1"/>
  <c r="D44" i="11" s="1"/>
  <c r="E44" i="11" s="1"/>
  <c r="D38" i="12" l="1"/>
  <c r="E38" i="12" s="1"/>
  <c r="D33" i="14" s="1"/>
  <c r="E33" i="14" s="1"/>
  <c r="D22" i="15" l="1"/>
  <c r="E22" i="15" s="1"/>
  <c r="D43" i="16" s="1"/>
  <c r="E43" i="16" s="1"/>
  <c r="D35" i="17" s="1"/>
  <c r="E35" i="17" s="1"/>
  <c r="D45" i="18" l="1"/>
  <c r="E45" i="18" s="1"/>
  <c r="E31" i="19"/>
  <c r="D25" i="21" s="1"/>
  <c r="E25" i="21" s="1"/>
  <c r="D39" i="20" s="1"/>
  <c r="E39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‏‏משתמש Windows</author>
  </authors>
  <commentList>
    <comment ref="A1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‏‏משתמש Windows</author>
  </authors>
  <commentList>
    <comment ref="A1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‏‏משתמש Windows</author>
  </authors>
  <commentList>
    <comment ref="A1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9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‏‏משתמש Windows</author>
  </authors>
  <commentList>
    <comment ref="A1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3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4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5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6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8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‏‏משתמש Windows</author>
  </authors>
  <commentList>
    <comment ref="A1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2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5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8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‏‏משתמש Windows</author>
  </authors>
  <commentList>
    <comment ref="A1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‏‏משתמש Windows</author>
  </authors>
  <commentList>
    <comment ref="A1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‏‏משתמש Windows</author>
  </authors>
  <commentList>
    <comment ref="A1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‏‏משתמש Windows</author>
  </authors>
  <commentList>
    <comment ref="A1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5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‏‏משתמש Windows</author>
  </authors>
  <commentList>
    <comment ref="A1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‏‏משתמש Windows</author>
  </authors>
  <commentList>
    <comment ref="A1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‏‏משתמש Windows</author>
  </authors>
  <commentList>
    <comment ref="A1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‏‏משתמש Windows</author>
  </authors>
  <commentList>
    <comment ref="A1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‏‏משתמש Windows</author>
  </authors>
  <commentList>
    <comment ref="A1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‏‏משתמש Windows</author>
  </authors>
  <commentList>
    <comment ref="A1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‏‏משתמש Windows</author>
  </authors>
  <commentList>
    <comment ref="A1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‏‏משתמש Windows</author>
  </authors>
  <commentList>
    <comment ref="A11" authorId="0" shapeId="0" xr:uid="{7EB3170F-4A80-4CA8-8627-C3C8F94D14FD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" authorId="0" shapeId="0" xr:uid="{7AB8D0F4-FC6C-4920-9236-6A9951971B3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‏‏משתמש Windows</author>
  </authors>
  <commentList>
    <comment ref="A1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‏‏משתמש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<sst xmlns="http://schemas.openxmlformats.org/spreadsheetml/2006/main" count="1607" uniqueCount="403">
  <si>
    <t>תאריך</t>
  </si>
  <si>
    <t>סה"כ</t>
  </si>
  <si>
    <t>רשות שדות התעופה</t>
  </si>
  <si>
    <t xml:space="preserve">אהובה אליה-הנדסת תנועה ותחבורה </t>
  </si>
  <si>
    <t xml:space="preserve">המתכנן </t>
  </si>
  <si>
    <t xml:space="preserve">אהובה אליה </t>
  </si>
  <si>
    <t>יום השבוע</t>
  </si>
  <si>
    <t>ד</t>
  </si>
  <si>
    <t>ה</t>
  </si>
  <si>
    <t>סהכ שעות עבודה</t>
  </si>
  <si>
    <t>נושא העבודה</t>
  </si>
  <si>
    <t>ועדת תנועה  12-24</t>
  </si>
  <si>
    <t>ועדת תנועה 01-25</t>
  </si>
  <si>
    <t>פלאפון: 054-9983894</t>
  </si>
  <si>
    <t>עוסק מורשה: 057085250</t>
  </si>
  <si>
    <t>כתובת :האורן 44 רמת ישי ת.ד. 1051</t>
  </si>
  <si>
    <t>דוח ביצוע שעות עבודה ינואר 2025</t>
  </si>
  <si>
    <t>א</t>
  </si>
  <si>
    <t>סה"כ שעות עבודה</t>
  </si>
  <si>
    <t>מחיר לשעת עבודה</t>
  </si>
  <si>
    <t>סה"כ לחשבון</t>
  </si>
  <si>
    <t>מע"מ 18%</t>
  </si>
  <si>
    <t>הצהרת העובד - הנני מצהיר בזה, כי כל הפרטים לגבי ביצוע שעות העבודה בדו"ח זה הינם נכונים ותואמים את הרישומים של משרדנו</t>
  </si>
  <si>
    <t xml:space="preserve">חתימה </t>
  </si>
  <si>
    <t xml:space="preserve">תאריך </t>
  </si>
  <si>
    <t>שם העובד</t>
  </si>
  <si>
    <t>אהובה אליה</t>
  </si>
  <si>
    <t>אישור המתכנן</t>
  </si>
  <si>
    <t>אישור העיריה</t>
  </si>
  <si>
    <t>לגבי סווג רמת התעריף ומספר שעות העובד :</t>
  </si>
  <si>
    <t>שם</t>
  </si>
  <si>
    <t>תפקיד</t>
  </si>
  <si>
    <t>במידה והמתכנן מעסיק יותר מעובד אחד עליו להגיש גם דף ריכוז לכל העובדים</t>
  </si>
  <si>
    <t>תדם</t>
  </si>
  <si>
    <t>ב</t>
  </si>
  <si>
    <t>מיקום</t>
  </si>
  <si>
    <t>רש"ת</t>
  </si>
  <si>
    <t>משרד</t>
  </si>
  <si>
    <t>דוח ביצוע שעות עבודה פברואר 2025</t>
  </si>
  <si>
    <r>
      <rPr>
        <b/>
        <sz val="16"/>
        <rFont val="David"/>
        <family val="2"/>
      </rPr>
      <t>מספר ח-ן: 01022501</t>
    </r>
    <r>
      <rPr>
        <sz val="16"/>
        <rFont val="David"/>
        <family val="2"/>
      </rPr>
      <t xml:space="preserve">     </t>
    </r>
  </si>
  <si>
    <t>ג</t>
  </si>
  <si>
    <t>תכנון  תנועה -במפלס ת.ציבורית טרמינל 3-הסדרי תמרור לחניית מוניות ונכים</t>
  </si>
  <si>
    <t>לקוח</t>
  </si>
  <si>
    <r>
      <rPr>
        <b/>
        <i/>
        <sz val="16"/>
        <rFont val="David"/>
        <family val="2"/>
      </rPr>
      <t>מספר ח-ן: 01122401</t>
    </r>
    <r>
      <rPr>
        <i/>
        <sz val="16"/>
        <rFont val="David"/>
        <family val="2"/>
      </rPr>
      <t xml:space="preserve">     </t>
    </r>
  </si>
  <si>
    <r>
      <rPr>
        <b/>
        <i/>
        <sz val="16"/>
        <rFont val="David"/>
        <family val="2"/>
      </rPr>
      <t>מספר ח-ן: 01012501</t>
    </r>
    <r>
      <rPr>
        <i/>
        <sz val="16"/>
        <rFont val="David"/>
        <family val="2"/>
      </rPr>
      <t xml:space="preserve">     </t>
    </r>
  </si>
  <si>
    <t>דוח ביצוע שעות עבודה דצמבר 2024</t>
  </si>
  <si>
    <t>הכנת חומר  לועדת תנועה  02-25</t>
  </si>
  <si>
    <t xml:space="preserve">  הכנת החומר  לועדת תנועה  02-25</t>
  </si>
  <si>
    <t>ועדת תנועה 02-25</t>
  </si>
  <si>
    <t xml:space="preserve">ה </t>
  </si>
  <si>
    <t xml:space="preserve">דיון עם שרלי אמיר בנושאים לועדת התנועה  02-25 </t>
  </si>
  <si>
    <t>טיפול כולל - הכנה+ טיפול בכל נושא הארכיב החתימות  וההפצה</t>
  </si>
  <si>
    <t xml:space="preserve">                                                                                                                                                               </t>
  </si>
  <si>
    <r>
      <rPr>
        <b/>
        <sz val="16"/>
        <rFont val="David"/>
        <family val="2"/>
      </rPr>
      <t>מספר ח-ן: 01032501</t>
    </r>
    <r>
      <rPr>
        <sz val="16"/>
        <rFont val="David"/>
        <family val="2"/>
      </rPr>
      <t xml:space="preserve">     </t>
    </r>
  </si>
  <si>
    <t>דוח ביצוע שעות עבודה מרץ 2025</t>
  </si>
  <si>
    <t xml:space="preserve">טרמינל 1 - הוספת  מקומות נגישים -  קבלת תוכניות מיזם  דיון ושיבוץ בועדת התנועה  </t>
  </si>
  <si>
    <t xml:space="preserve">טרמינל 3 - חניות למסורבים ובטחון -  קבלת תוכניות מיזם  דיון ושיבוץ בועדת התנועה  </t>
  </si>
  <si>
    <t xml:space="preserve">הפצה ותיוק ועדת תנועה 02/25  </t>
  </si>
  <si>
    <t xml:space="preserve">היכרות עם פרוייקט מכ"מ 38  </t>
  </si>
  <si>
    <t xml:space="preserve">  הכנה היכרות ודיון  בנושא מכ"מ נייד לקראת ועדת תנועה 03/25</t>
  </si>
  <si>
    <t xml:space="preserve">  הכנה היכרות ודיון  בנושא מכ"מ נייד 38 לקראת ועדת תנועה 03/25</t>
  </si>
  <si>
    <t xml:space="preserve">הכנת פרוטוקול ואישור תוכן לאחר ועדת תנועה 03/25 </t>
  </si>
  <si>
    <t xml:space="preserve"> המשך הכנת פרוטוקול לחתימות +ארכוב+ טיפול בתוכניות לאישור - ועדת תנועה 03/25 </t>
  </si>
  <si>
    <t xml:space="preserve">טרמינל 3 - הרשאת גישה למסלול הדרומי -  קבלת תוכניות מיזם  דיון ושיבוץ בועדת התנועה  </t>
  </si>
  <si>
    <t xml:space="preserve">  היכרות ודיון  בנושא גדר חייץ שלב א  לקראת ועדת תנועה 03/25</t>
  </si>
  <si>
    <r>
      <t xml:space="preserve"> </t>
    </r>
    <r>
      <rPr>
        <b/>
        <sz val="16"/>
        <rFont val="David"/>
        <family val="2"/>
      </rPr>
      <t xml:space="preserve"> הכנה וסיור בשטח פרוייקט גדר חייץ שלב א</t>
    </r>
  </si>
  <si>
    <r>
      <t xml:space="preserve"> </t>
    </r>
    <r>
      <rPr>
        <b/>
        <sz val="16"/>
        <rFont val="David"/>
        <family val="2"/>
      </rPr>
      <t xml:space="preserve"> דיון נוסף בפרויקט  הסדרי תנועה זמניים  קידוחי תחנת דס"ל </t>
    </r>
  </si>
  <si>
    <r>
      <t xml:space="preserve"> </t>
    </r>
    <r>
      <rPr>
        <b/>
        <sz val="16"/>
        <rFont val="David"/>
        <family val="2"/>
      </rPr>
      <t xml:space="preserve"> דיון וסיור בשטח פרוייקט הסדרי תנועה זמניים קידוחי תחנת דס"ל</t>
    </r>
  </si>
  <si>
    <t xml:space="preserve">  שליחת פרוטוקול לחתימות  ותוכניות לאישור - ועדת תנועה 03/25 </t>
  </si>
  <si>
    <t>הכנת  נושאי דיון לועדת תנועה  03/25</t>
  </si>
  <si>
    <t>פרויקט יב"ר -פגישה עם שגיב וארזה</t>
  </si>
  <si>
    <t xml:space="preserve"> הכנה היכרות ודיון  פרויקט קידוחי תחנת דס"ל</t>
  </si>
  <si>
    <t>המשך הכנת  נושאים לסדר יום ועדת תנועה 03/25</t>
  </si>
  <si>
    <t xml:space="preserve">  הכנה היכרות   ודיון  בנושא העתקת כלורינטור חלופי טרמינל 3 לקראת ועדת תנועה 03/25</t>
  </si>
  <si>
    <t xml:space="preserve"> בקרה ודיון בנושא גדר החייץ שלבי ביצוע</t>
  </si>
  <si>
    <t xml:space="preserve"> בקרה ודיון בנושא יב"ר עם עירד</t>
  </si>
  <si>
    <t>ארגון והכנת חומר  לועדת תנועה  02-25</t>
  </si>
  <si>
    <t xml:space="preserve">קבלה חומרים מעודכנים  לאחר בקרת איכות וסגירת הפרוטוקול  ועדת התנועה 02-25 </t>
  </si>
  <si>
    <t xml:space="preserve"> היכרות ודיון בנושא גדר החייץ שלבי ביצוע</t>
  </si>
  <si>
    <t xml:space="preserve"> היכרות  ודיון בנושא שינוי תוואי דרך עוקפת ל-K4</t>
  </si>
  <si>
    <t xml:space="preserve">לדיון בנושאים שונים ועדת תנועה 02-25 עם חן פרידמן  </t>
  </si>
  <si>
    <t xml:space="preserve"> בקרת איכות והכנת חומר  לועדת תנועה 02-25</t>
  </si>
  <si>
    <t xml:space="preserve">   בקרה הכנה וטיפול בכל הקשור לפרוטוקול  לאחר ועדת תנועה   02-25 </t>
  </si>
  <si>
    <t xml:space="preserve"> המשך  היכרות ודיון בפרויקט יב"ר  לקראת ועדת תנועה 03/25</t>
  </si>
  <si>
    <t>בקרה ודיון בפרויקט כלורינטור  לאחר ועדת התנועה</t>
  </si>
  <si>
    <t>הכנת  סדר יום סופי  כולל בקרת איכות לועדת תנועה 03/25 והפצתו</t>
  </si>
  <si>
    <t xml:space="preserve">    בקרת איכות  ארגון וסידור  הקבצים על פי נושאים לאחר  ועדת התנועה 03/25</t>
  </si>
  <si>
    <t xml:space="preserve">  הכנה ודיון בועדת תנועה 03/25</t>
  </si>
  <si>
    <t xml:space="preserve"> בקרה והפצת פרוטוקול ועדת תנועה  01-25</t>
  </si>
  <si>
    <t>דוח ביצוע שעות עבודה אפריל 2025</t>
  </si>
  <si>
    <r>
      <rPr>
        <b/>
        <sz val="16"/>
        <rFont val="David"/>
        <family val="2"/>
      </rPr>
      <t>מספר ח-ן: 01042501</t>
    </r>
    <r>
      <rPr>
        <sz val="16"/>
        <rFont val="David"/>
        <family val="2"/>
      </rPr>
      <t xml:space="preserve">     </t>
    </r>
  </si>
  <si>
    <t xml:space="preserve">איסוף וריכוז חומר רקע בנושא פרוייקט כביש 200 </t>
  </si>
  <si>
    <t>ישיבה  עם אדר' שירלי בנוגע  למתן התייחסות רש"ת  לפרויקט כביש 200.</t>
  </si>
  <si>
    <t xml:space="preserve">  הכנה היכרות ודיון  בנושא פסיפס מזרחי לקראת ועדת תנועה 04/25</t>
  </si>
  <si>
    <t xml:space="preserve">  הכנה היכרות וסיור בנושא הת"ז לביצוע עבודות ברחוב יעף -מפעלי מזון תמ"מ לקראת ועדת תנועה 04/25</t>
  </si>
  <si>
    <t xml:space="preserve">  הכנה היכרות ודיון  בנושא תוכנית מפרצי אוטובוס E2+E3  לקראת ועדת תנועה 04/25</t>
  </si>
  <si>
    <t>תכנון  תנועה -במפלס ת.ציבורית טרמינל 3-עדכון הסדרי חניה למוניות בקומה</t>
  </si>
  <si>
    <t xml:space="preserve">  הכנה היכרות ודיון  בנושא תוכנית מפרצי אוטובוס E2+E3  לקראת ועדת תנועה 04/25 - שי עמית והדס הראל </t>
  </si>
  <si>
    <t xml:space="preserve">  קבלת חומרים  מעודכנים לאחר סיור ודיון  חוזר בנושא תחנת דלק דס"ל  לקראת ועדת תנועה 04/25</t>
  </si>
  <si>
    <t xml:space="preserve">  המשך איסוף והכנת  נושאים לסדר יום ועדת תנועה 04/25</t>
  </si>
  <si>
    <t xml:space="preserve">  הכנה היכרות ודיון  בנושא נספח תנועה וחניה לחניון בין מבנה תחזוקה למבנה מוקד לקראת ועדת תנועה 04/25</t>
  </si>
  <si>
    <t xml:space="preserve">  קבלת חומרים מעודכנים לאחר סיור ובקרת איכות בנושא רחוב יעף-הת"ז לביצוע קווי ניקוז  לקראת ועדת תנועה 04/25</t>
  </si>
  <si>
    <t xml:space="preserve"> המשך הצגה ודיון עם המתכננים בנושא נספח תנועה וחניה לחניון בין מבנה תחזוקה למבנה מוקד לקראת ועדת תנועה 04/25</t>
  </si>
  <si>
    <t>הכנת  סדר יום סופי  כולל בקרת איכות לועדת תנועה 04/25 והפצתו</t>
  </si>
  <si>
    <t xml:space="preserve">  הכנה ודיון בועדת תנועה 04/25</t>
  </si>
  <si>
    <t xml:space="preserve">הכנת פרוטוקול ואישור תוכן לאחר ועדת תנועה 04/25 </t>
  </si>
  <si>
    <t xml:space="preserve"> המשך הכנת פרוטוקול לחתימות +ארכוב+ טיפול בתוכניות לאישור - ועדת תנועה 04/25 </t>
  </si>
  <si>
    <t xml:space="preserve">   הצגה היכרות +דיון  בפרוייקט גדר חייץ שלב ב</t>
  </si>
  <si>
    <t>ישיבה  עם אדר' שירלי בנוגע  למתן התייחסות לרש"ת  לפרויקט כביש 200-דיון חוזר.</t>
  </si>
  <si>
    <t xml:space="preserve">  איסוף והכנת  נושאים לסדר יום ועדת תנועה 04/25</t>
  </si>
  <si>
    <t xml:space="preserve"> דיון והצגת התכנון  תנועה למזמין וקבלת אישורו לקראת ועדת התנועה 04/25</t>
  </si>
  <si>
    <t xml:space="preserve">  הכנה היכרות וסיור לבקשת מחלקת  אכיפה להסדרת חניית מוניות במפלס ת.ציבורית טרמינל 3</t>
  </si>
  <si>
    <t>דוח ביצוע שעות עבודה מאי 2025</t>
  </si>
  <si>
    <r>
      <rPr>
        <b/>
        <sz val="16"/>
        <rFont val="David"/>
        <family val="2"/>
      </rPr>
      <t>מספר ח-ן: 01052501</t>
    </r>
    <r>
      <rPr>
        <sz val="16"/>
        <rFont val="David"/>
        <family val="2"/>
      </rPr>
      <t xml:space="preserve">     </t>
    </r>
  </si>
  <si>
    <t xml:space="preserve">  הכנה היכרות ודיון ראשוני בנושא דדי שחר טרמינל 3  נתב"ג-הסדרי תנועה  מבנה תפעול לקראת ועדת תנועה 05/25</t>
  </si>
  <si>
    <t xml:space="preserve">  היכרות וסיור בטרמינל 3   MLR2- הסדרת תמרור וסימון לטובת תאי חניה לטובת חטיבת הנדסה +טעינה חשמלית    לקראת ועדת תנועה 05/25</t>
  </si>
  <si>
    <t xml:space="preserve">הפצה ותיוק ועדת תנועה 03/25  </t>
  </si>
  <si>
    <t xml:space="preserve">  קבלת חומרים  מעודכנים  ודיון חוזר עם המתכנן ומנהל הפרויקט בנושא דדי שחר טרמינל 3-הסדרי תנועה מבנה תפעול  לקראת ועדת תנועה 05/25</t>
  </si>
  <si>
    <t xml:space="preserve">   איסוף והכנת  נושאים לסדר יום ועדת תנועה 05/25</t>
  </si>
  <si>
    <t>ו</t>
  </si>
  <si>
    <t>תכנון  תנועה -במפלס ת.ציבורית טרמינל 3-הסדרי תנועה וחניה לטובת חטיבת הנדסה +רכבי טעינה חשמלית</t>
  </si>
  <si>
    <t xml:space="preserve">  הכנה היכרות ראשונית  בנושא שער ברוש לקראת ועדת תנועה 05/25</t>
  </si>
  <si>
    <t xml:space="preserve">  המשך קבלת חומרים מעודכנים בנושאים השונים וביצוע בקרת איכות  לקראת ועדת תנועה 05/25</t>
  </si>
  <si>
    <t xml:space="preserve"> דיון והצגת התכנון  תנועה למזמין וקבלת אישורו לקראת ועדת התנועה 05/25</t>
  </si>
  <si>
    <t xml:space="preserve">  קבלת חומרים מעודכנים דיון חוזר ובקרת איכות בנושא שער ברוש לקראת ועדת תנועה 05/25</t>
  </si>
  <si>
    <t xml:space="preserve">  קבלת חומרים מעודכנים דיון חוזר ובקרת איכות בנושא גדר חייץ לקראת ועדת תנועה 05/25</t>
  </si>
  <si>
    <t xml:space="preserve">הכנת  סדר יום סופי  כולל בקרת איכות  והפצתו + הכנת מצגת  לקראת ועדת תנועה 05/25 </t>
  </si>
  <si>
    <t xml:space="preserve">  הכנה ודיון בועדת תנועה 05/25</t>
  </si>
  <si>
    <t xml:space="preserve">הכנת פרוטוקול ואישור תוכן לאחר ועדת תנועה 05/25 </t>
  </si>
  <si>
    <t xml:space="preserve">המשך הכנת מצגת כולל בקרת איכות   לקראת ועדת תנועה 05/25 </t>
  </si>
  <si>
    <t xml:space="preserve">  הכנה היכרות סיור  ודיון בנושא גדר החיץ - שלב ב מקטע א חתכים 0-400(שלב ב) -הת"ז לביצוע גדר החיץ לקראת ועדת תנועה 05/25</t>
  </si>
  <si>
    <t xml:space="preserve"> המשך הכנת פרוטוקול לחתימות +ארכוב+ טיפול בתוכניות לאישור - ועדת תנועה 05/25 </t>
  </si>
  <si>
    <t>דוח ביצוע שעות עבודה יוני 2025</t>
  </si>
  <si>
    <r>
      <rPr>
        <b/>
        <sz val="16"/>
        <rFont val="David"/>
        <family val="2"/>
      </rPr>
      <t>מספר ח-ן: 01062501</t>
    </r>
    <r>
      <rPr>
        <sz val="16"/>
        <rFont val="David"/>
        <family val="2"/>
      </rPr>
      <t xml:space="preserve">     </t>
    </r>
  </si>
  <si>
    <t xml:space="preserve">  הכנה היכרות ראשונית -חניון מצדה</t>
  </si>
  <si>
    <t xml:space="preserve">  הכנה היכרות ראשונית  בנושא אגס קטן</t>
  </si>
  <si>
    <t xml:space="preserve">  קבלת חומרים ראשונים בנושאים השונים  לקראת ועדת תנועה 07/25</t>
  </si>
  <si>
    <t xml:space="preserve">  הכנה היכרות ראשונית בנושא דוח 7- מסמכי עקרונות ותיאומים-אבנים קטנות בתחבורה</t>
  </si>
  <si>
    <t xml:space="preserve"> התייחסות בנושא דוח 7- מסמכי עקרונות ותיאומים-אבנים קטנות בתחבורה- פגישה הכנה עם שירלי</t>
  </si>
  <si>
    <t xml:space="preserve"> דיון בנושא דוח 7- מסמכי עקרונות ותיאומים-אבנים קטנות בתחבורה-פגישה עם המתכננים</t>
  </si>
  <si>
    <t xml:space="preserve">תיוק ועדת תנועה 04/25  </t>
  </si>
  <si>
    <t xml:space="preserve">  הכנה היכרות לבקשת מחלקת  אכיפה להסדרת סימון ותמרור למניעת חניות אופנועים</t>
  </si>
  <si>
    <t>תכנון  תנועה -במפלס G טרמינל 3-הסדרת סימון ותמרור לטובת מניעת חניית אופנועים</t>
  </si>
  <si>
    <t xml:space="preserve">  הכנה היכרות סיור וחוות דעת  - תחנת שאטל נוספת חניון 22</t>
  </si>
  <si>
    <t xml:space="preserve">  הכנה היכרות ודיון ראשוני בנושא פודקורט נתב"ג-הסדרי תנועה  זמניים לקראת ועדת תנועה 07/25</t>
  </si>
  <si>
    <t>דוח ביצוע שעות עבודה יולי 2025</t>
  </si>
  <si>
    <t xml:space="preserve"> דיון וסיור בשטח  בנושא: הסדרי תנועה כיכר אל-על</t>
  </si>
  <si>
    <t>מסוף נתב"ג - עדכון גבולות רשות תמרור נת"י- הכנה + הצגת הפרויקט</t>
  </si>
  <si>
    <t xml:space="preserve">  הכנה וסיור  -חניון מצדה</t>
  </si>
  <si>
    <t xml:space="preserve"> דיון וסיור בשטח האוירי  בשטח  בנושא: פודקורט - הסדרי תנועה זמניים</t>
  </si>
  <si>
    <t>סיור בשטח  בנושא: גדר חיץ  שלב ב קטע ג- הסדרי תנועה זמניים</t>
  </si>
  <si>
    <t xml:space="preserve">   איסוף ראשוני והכנת  הנושאים לסדר יום ועדת תנועה 07/25</t>
  </si>
  <si>
    <t xml:space="preserve"> נתב"ג תשתיות קרקעיות -פ"ע יועצים פנימית בנושא דוח 7- אבנים קטנות בתחבורה</t>
  </si>
  <si>
    <t xml:space="preserve">  דיון  והצגת תוכניות בנושא גדר החיץ - שלב ב מקטע שלישי חתכים 240-600 -הת"ז לביצוע גדר החיץ לקראת ועדת תנועה 07/25</t>
  </si>
  <si>
    <t xml:space="preserve"> דיון והצגת תכנון התנועה מפלס G טרמינל 3 למזמין וקבלת אישורו לקראת ועדת התנועה 07/25</t>
  </si>
  <si>
    <t>תכנון  תנועה -טרמינל 3 MLR3-הסדרת סימון ותמרור לטובת העלאה והורדת נוסעים ללא המתנה כולל נכים</t>
  </si>
  <si>
    <t>פגישה עם אורית חנון - בנושא ארכוב</t>
  </si>
  <si>
    <t xml:space="preserve"> פגישה להצגת בקשות לתכנון תנועה וסיור  בשטח עם מנהל טרמינל 1-חיים אלימלך+ניצן זוהר </t>
  </si>
  <si>
    <t xml:space="preserve">  הכנה היכרות ראשונית ודיון  בנושא פאל 5-אזור מגדל הפיקוח לקראת ועדת תנועה 06/25</t>
  </si>
  <si>
    <t>המשך איסוף והכנת  הנושאים לסדר יום ועדת תנועה 07/25</t>
  </si>
  <si>
    <t xml:space="preserve">   איסוף והכנת  נושאים לסדר יום ועדת תנועה 06/25  והפצתו לכל חברי הועדה במייל</t>
  </si>
  <si>
    <t xml:space="preserve">  דיון  והצגת תוכניות חניון אל-על מגרש הכדורגל -עדכון הסדרי התנועה לקראת ועדת תנועה 07/25</t>
  </si>
  <si>
    <t xml:space="preserve">  דיון  והצגת התייחסות למסוף נתב"ג  עם ארזה ושירלי </t>
  </si>
  <si>
    <t>מסוף נתב"ג - הכנת חוות דעת יועץ תחבורה</t>
  </si>
  <si>
    <t xml:space="preserve">  קבלת חומרים מעודכנים ובקרת איכות לנושאים השונים+ הכנה ראשונית של המצגת לקראת ועדת תנועה 07/25</t>
  </si>
  <si>
    <t xml:space="preserve"> ביצוע בקרת איכות לתוכניות הסופיות +הכנת  סדר יום סופי והפצתו + המשך הכנת המצגת  לקראת ועדת התנועה 07/25 </t>
  </si>
  <si>
    <t xml:space="preserve">  הכנה ודיון בועדת תנועה 07/25</t>
  </si>
  <si>
    <t xml:space="preserve"> הכנת פרוטוקול לחתימות +ארכוב+ טיפול בתוכניות לאישור והפצתו במייל   - ועדת תנועה 06/25 </t>
  </si>
  <si>
    <t xml:space="preserve">תיוק לאחר ועדת תנועה 06/25 </t>
  </si>
  <si>
    <t xml:space="preserve">  הכנה היכרות ראשונית ודיון  בנושא הסדרת גישה לשער חירום חוות המיכלים פז (כיכר פ"ת-לוד) שער מזרח לקראת ועדת תנועה 07/25</t>
  </si>
  <si>
    <t xml:space="preserve">  סיור ודיון בנושא רמזור  מבצע דני  עקב תאונה </t>
  </si>
  <si>
    <t xml:space="preserve">  סיור ודיון -הסדרת גישה לשער חירום חוות המיכלים פז (כיכר פ"ת-לוד) שער מזרח לאחר ועדת תנועה 07/25 + </t>
  </si>
  <si>
    <t xml:space="preserve">  פ"ע פנימית עם ליאור  בנוגע  למתן התייחסות רש"ת לפרויקט כביש 200</t>
  </si>
  <si>
    <t xml:space="preserve">  פ"ע פנימית עם ארזה ושירלי- הכנה לפורום נתב"ג  </t>
  </si>
  <si>
    <t xml:space="preserve">  הכנה + דיון בנושא אגס קטן</t>
  </si>
  <si>
    <t xml:space="preserve">  פורום נתב"ג</t>
  </si>
  <si>
    <t xml:space="preserve">הכנת פרוטוקול ואישור תוכן לאחר ועדת תנועה 07/25 </t>
  </si>
  <si>
    <t xml:space="preserve"> הפצה בקרה +רישות בטבלאות אקסל +תיוק ועדת תנועה 05/25  </t>
  </si>
  <si>
    <t>דוח ביצוע שעות עבודה אוג 2025</t>
  </si>
  <si>
    <t xml:space="preserve"> שוטף אגפי</t>
  </si>
  <si>
    <t xml:space="preserve"> המשך הכנת פרוטוקול לחתימות + טיפול בתוכניות לאישור ושליחה לארכוב  - ועדת תנועה 07/25 </t>
  </si>
  <si>
    <t xml:space="preserve">   איסוף והכנת  נושאים לסדר יום ועדת תנועה 08/25 </t>
  </si>
  <si>
    <t xml:space="preserve">חניון 15- היכרות ראשונית עם  פרויקט חניון 15 </t>
  </si>
  <si>
    <t>חניון 15- קבלת חומר מעודכן  מאדרכלים המשך בחינה והיכרות עם פרויקט חניון 15</t>
  </si>
  <si>
    <t xml:space="preserve">  הכנה והיכרות ראשונית בנושא XREY- לקראת ועדת תנועה 08/25</t>
  </si>
  <si>
    <t xml:space="preserve">חניון 15 -  דיון והצגת תכנון התנועה ע"י המתכנן  </t>
  </si>
  <si>
    <t>חניון 15 - ביצוע בקרת איכות  לתוכנית הסופית ואישורה</t>
  </si>
  <si>
    <t xml:space="preserve"> הכנת פרוטוקול לחתימות  - ועדת תנועה 07/25 </t>
  </si>
  <si>
    <t xml:space="preserve">בקרת איכות  לתוכניות לקראת סגירת הפרוטוקול לאחר קבלת ארכוב ושליחה לחתימות- ועדת תנועה 07/25 </t>
  </si>
  <si>
    <t xml:space="preserve">  הכנה והיכרות ראשונית בנושא מיכלי סולר- לקראת ועדת תנועה 08/25</t>
  </si>
  <si>
    <t>עדכון קבצי אקסל עם הפרויקטים ועדה 07/25</t>
  </si>
  <si>
    <t xml:space="preserve"> סיכום דיון  בנושא הסדרת גישה לשער חירום חוות המיכלים פז (כיכר פ"ת-לוד) שער מזרח </t>
  </si>
  <si>
    <t>פגישה עם אורית חנון בנוגע לארכיב</t>
  </si>
  <si>
    <t xml:space="preserve">הכנת חוות דעת  יועץ תחבורה בנוגע לכביש 200- התייחסות לחלופה המוצעת   </t>
  </si>
  <si>
    <t xml:space="preserve">  דיון והצגת תוכניות  כולל בקרת איכות בנושא מיכלי סולר- לקראת ועדת תנועה 08/25</t>
  </si>
  <si>
    <t xml:space="preserve">  דיון והצגת התוכניות הסופיות בנושא חניון למוניות טרמינל 1 - לקראת ועדת תנועה 08/25</t>
  </si>
  <si>
    <t xml:space="preserve">  הכנה היכרות ראשונית  בנושאים הנוגעים לטרמינל 1-לקראת ועדת תנועה 08/25</t>
  </si>
  <si>
    <t xml:space="preserve">  דיון והצגת התוכניות הסופיות בנושא  חניות להעלאה והורדה בחזית טרמינל 1 - לקראת ועדת תנועה 08/25</t>
  </si>
  <si>
    <t xml:space="preserve">  טיפול  ומסירת פרוטולים+תוכניות לבקשת התובעת רשותית ואגף האכיפה </t>
  </si>
  <si>
    <t xml:space="preserve">  הכנה היכרות ראשונית  בנושא תכנון מסוף חיפה  חלופות</t>
  </si>
  <si>
    <t>דוח ביצוע שעות עבודה ספט 2025</t>
  </si>
  <si>
    <t xml:space="preserve">  דיון והצגת תוכניות  כולל בקרת איכות בנושא XREY- לקראת ועדת תנועה 08/25</t>
  </si>
  <si>
    <t xml:space="preserve"> ביצוע בקרת איכות לתוכניות הסופיות +הכנת  סדר יום סופי והפצתו    לקראת ועדת התנועה 08/25 </t>
  </si>
  <si>
    <t xml:space="preserve">המשך ביצוע בקרת איכות לתוכניות הסופיות +  הכנת המצגת  לקראת ועדת התנועה 08/25 </t>
  </si>
  <si>
    <t xml:space="preserve">סגירת סדר יום והפצתו + המשך  הכנת המצגת  לקראת ועדת התנועה 08/25 </t>
  </si>
  <si>
    <t xml:space="preserve">  שדה תעופה חיפה - מגרש החניה בחיפה- הצגת חלופות עם תדם ומנהל הפרוקיט</t>
  </si>
  <si>
    <t xml:space="preserve">  שדה תעופה חיפה - מגרש החניה בחיפה- בחינת החלופות - שוטף עם ארזה + מנהל הפרויקט</t>
  </si>
  <si>
    <t>היכרות לימוד ודיון כולל תוכניות סופיות גדר החיץ (אגס קטן)עם מנהל הפרויקט בכר</t>
  </si>
  <si>
    <t xml:space="preserve">  הכנה ודיון בועדת תנועה 08/25</t>
  </si>
  <si>
    <t xml:space="preserve">  פ"ע פנימית עם ארזה ושירלי- שוטף</t>
  </si>
  <si>
    <t xml:space="preserve">  פ"ע  בנושא ארכוב -עם מחלקת ארכוב+ארזה</t>
  </si>
  <si>
    <t xml:space="preserve"> המשך הכנת הפרוטוקול ובקשה לקבלת תוכניות מעודכנות  - ועדת תנועה 08/25 </t>
  </si>
  <si>
    <t>מעברי חירום נתב"ג - בקשה מצד המשטרה להסדרת מעברי חירום  בנתב"ג</t>
  </si>
  <si>
    <t xml:space="preserve"> הכנה היכרות ראשונית  בנושא בנין המשטרה החדש-לקראת ועדת תנועה 11/25</t>
  </si>
  <si>
    <t xml:space="preserve"> הכנה היכרות ראשונית  בנושא מחלף נתב"ג מערב - הסדרי תנועה זמניים שלב A1 לקראת ועדת תנועה 09/25</t>
  </si>
  <si>
    <t>ישיבת אגף  תכנון</t>
  </si>
  <si>
    <t xml:space="preserve"> הכנת פרוטוקול  - ועדת תנועה 08/25 </t>
  </si>
  <si>
    <t xml:space="preserve">  דיון בנושא שדה תעופה חיפה -תכנון מגרש החניה - הצגת החלופות </t>
  </si>
  <si>
    <t xml:space="preserve">חוק חופש המידע - בקשה לאיתור פרוטוקולים ותוכניות מול עו"ד נטלי בן </t>
  </si>
  <si>
    <t xml:space="preserve"> קבלת תוכניות ודיון בנושא מחלף נתב"ג מערב - הסדרי תנועה זמניים שלב A1 לקראת ועדת תנועה 09/25</t>
  </si>
  <si>
    <t xml:space="preserve"> ביצוע בקרת איכות לתוכנית +הכנת  סדר יום והפצתו  במייל לקראת ועדת התנועה 09/25 </t>
  </si>
  <si>
    <t xml:space="preserve"> הכנת פרוטוקול לחתימות + טיפול בתוכניות לאישור ושליחה לארכוב  - ועדת תנועה 09/25 </t>
  </si>
  <si>
    <t xml:space="preserve">  טיפול  ומסירת פרוטולים+תוכניות לבקשת חוק חופש המידע </t>
  </si>
  <si>
    <t xml:space="preserve">בקרת איכות  לתוכניות לקראת סגירת הפרוטוקול לאחר קבלת ארכוב ושליחה לחתימות- ועדת תנועה 08/25 </t>
  </si>
  <si>
    <t xml:space="preserve"> הכנה היכרות ראשונית  בנושא מסוף בגין - הסדרי תנועה זמניים-לקראת ועדת תנועה 11/25</t>
  </si>
  <si>
    <t xml:space="preserve">  קבלת תוכניות תת"ל והמשך לימוד  היכרות ובקרת תוכניות בנושא תכנון מגרש חניה בשדה התעופה חיפה</t>
  </si>
  <si>
    <t xml:space="preserve"> הכנה  המשך היכרות עם  מכלי הסולר ברחבי נתב"ג לטובת  היתרים- לקראת ועדת תנועה 11/25</t>
  </si>
  <si>
    <r>
      <rPr>
        <b/>
        <i/>
        <sz val="16"/>
        <rFont val="David"/>
        <family val="2"/>
      </rPr>
      <t>מספר ח-ן: 01092501</t>
    </r>
    <r>
      <rPr>
        <i/>
        <sz val="16"/>
        <rFont val="David"/>
        <family val="2"/>
      </rPr>
      <t xml:space="preserve">     </t>
    </r>
  </si>
  <si>
    <r>
      <rPr>
        <b/>
        <i/>
        <sz val="16"/>
        <rFont val="David"/>
        <family val="2"/>
      </rPr>
      <t>מספר ח-ן: 01082501</t>
    </r>
    <r>
      <rPr>
        <i/>
        <sz val="16"/>
        <rFont val="David"/>
        <family val="2"/>
      </rPr>
      <t xml:space="preserve">     </t>
    </r>
  </si>
  <si>
    <t xml:space="preserve">  סיור בשטח  בנוגע לנושא אכיפה אלקטרונית  MLR קומה G  -עם מחלקת אכיפה ועו"ד </t>
  </si>
  <si>
    <t xml:space="preserve"> קבלת תוכניות מעודכנות ודיון עם המתכננים בנוגע לנספח התנועה בנין המשטרה החדש-לקראת ועדת תנועה 11/25</t>
  </si>
  <si>
    <t xml:space="preserve">   איסוף ראשוני והכנת  הנושאים לסדר יום ועדת תנועה 10/25</t>
  </si>
  <si>
    <t>דוח ביצוע שעות עבודה אוקטובר 2025</t>
  </si>
  <si>
    <r>
      <rPr>
        <b/>
        <i/>
        <sz val="16"/>
        <rFont val="David"/>
        <family val="2"/>
      </rPr>
      <t>מספר ח-ן: 01102501</t>
    </r>
    <r>
      <rPr>
        <i/>
        <sz val="16"/>
        <rFont val="David"/>
        <family val="2"/>
      </rPr>
      <t xml:space="preserve">     </t>
    </r>
  </si>
  <si>
    <t xml:space="preserve"> הכנה היכרות ראשונית  בנושא מחלף נתב"ג מערב - הסדרי תנועה זמניים שלב A0 - ניצבים-לקראת ועדת תנועה 10/25</t>
  </si>
  <si>
    <t>תמרורי קנס מוגדל- בקשה לאיתור פרוטוקולים ותוכניות מול  מחלקת אכיפה ועו"ד לימור טנצ'ר</t>
  </si>
  <si>
    <t xml:space="preserve">  טיפול  ומסירת פרוטולים+תוכניות לבקשת עו"ד טנצ'ר </t>
  </si>
  <si>
    <t xml:space="preserve"> הכנת פרוטוקול לחתימות + טיפול בתוכניות לאישור ושליחה לארכוב  - ועדת תנועה 10/25 </t>
  </si>
  <si>
    <t xml:space="preserve">עדכון קבצי אקסל עם הפרויקטים ועדות התנועה 09/25 </t>
  </si>
  <si>
    <t>דוח ביצוע שעות עבודה נובמבר 2025</t>
  </si>
  <si>
    <r>
      <rPr>
        <b/>
        <i/>
        <sz val="16"/>
        <rFont val="David"/>
        <family val="2"/>
      </rPr>
      <t>מספר ח-ן: 01112501</t>
    </r>
    <r>
      <rPr>
        <i/>
        <sz val="16"/>
        <rFont val="David"/>
        <family val="2"/>
      </rPr>
      <t xml:space="preserve">     </t>
    </r>
  </si>
  <si>
    <t xml:space="preserve"> סיור בשטח -מחלף נתב"ג מערב - הסדרי תנועה זמניים שלב A0 - ניצבים-לקראת ועדת תנועה 10/25</t>
  </si>
  <si>
    <t xml:space="preserve">עדכון קבצי אקסל עם הפרויקטים לועדות התנועה 08/25 </t>
  </si>
  <si>
    <t xml:space="preserve"> דיון והצגת תוכניות  לאחר התייעצות ראשונית בנושא מסוף בגין - הסדרי תנועה זמניים-לקראת ועדת תנועה 11/25</t>
  </si>
  <si>
    <t xml:space="preserve">   איסוף והכנת  הנושאים לסדר יום ועדת תנועה 11/25</t>
  </si>
  <si>
    <t xml:space="preserve"> הכנה והיכרות ראשונית  בנושא הסדרי תנועה היקפיים קיימים -נספח תנועה להסדרת היתר מגרש 2 לקראת ועדת תנועה 11/25</t>
  </si>
  <si>
    <t xml:space="preserve"> פגישת עבודה בנושא הסדרי תנועה היקפיים קיימים -נספח תנועה להסדרת היתר מגרש 2 לקראת ועדת תנועה 11/25</t>
  </si>
  <si>
    <t>תמרורי 433+ 439  בקשה לאיתור פרוטוקולים ותוכניות מול עו"ד נטלי בן - חוק חופש המידע</t>
  </si>
  <si>
    <t xml:space="preserve"> שוטף עם ארזה ושירלי בנושא תמ"א</t>
  </si>
  <si>
    <t>ארכוב ועדות תנועה - שירלי הדס ואהובה</t>
  </si>
  <si>
    <t xml:space="preserve"> הכנה והיכרות ראשונית  בנושא הסדרי תנועה היקפיים קיימים -נספח תנועה להסדרת היתר מגרש 5 לקראת ועדת תנועה 11/25</t>
  </si>
  <si>
    <t>דוח אמאב- אבנים קטנות בתחבורה- התייחסות נתב"ג -הכנת חוות דעת תחבורתית</t>
  </si>
  <si>
    <t>תמ"א נתב"ג- פרוגרמה תנועתית- דיון</t>
  </si>
  <si>
    <t xml:space="preserve"> הכנה והיכרות ראשונית  בנושא הסדרי תנועה היקפיים קיימים -נספח תנועה להסדרת היתר מגרש 7 לקראת ועדת תנועה 11/25</t>
  </si>
  <si>
    <t xml:space="preserve">  המשך איסוף והכנת  הנושאים לסדר יום ועדת תנועה 11/25</t>
  </si>
  <si>
    <t xml:space="preserve">  פגישת עבודה נוספת בנושא הסדרי תנועה היקפיים קיימים -נספח תנועה להסדרת היתר למגרשים  5 ו-7 לקראת ועדת תנועה 11/25</t>
  </si>
  <si>
    <r>
      <rPr>
        <b/>
        <i/>
        <sz val="16"/>
        <rFont val="David"/>
        <family val="2"/>
      </rPr>
      <t>מספר ח-ן: 01072501</t>
    </r>
    <r>
      <rPr>
        <i/>
        <sz val="16"/>
        <rFont val="David"/>
        <family val="2"/>
      </rPr>
      <t xml:space="preserve">     </t>
    </r>
  </si>
  <si>
    <t xml:space="preserve"> ביצוע בקרת איכות לתוכניות +הכנת  סדר יום והפצתו לחברי הועדה לקראת ועדת התנועה 11/25 </t>
  </si>
  <si>
    <t xml:space="preserve"> קבלת תוכניות מעודכנות ביצוע בקרת איכות לתוכניות +הכנת הנושאים לסדר יום ועדת התנועה 11/25 </t>
  </si>
  <si>
    <t xml:space="preserve"> דיון חוזר והצגת תוכניות מעודכנות בנושא מסוף בגין - הסדרי תנועה זמניים-לקראת ועדת תנועה 11/25</t>
  </si>
  <si>
    <t xml:space="preserve"> מחלף נתב"ג מערב -דיון והצגת הסדרי תנועה זמניים שלב A0  עם המתכנן</t>
  </si>
  <si>
    <t>הכנה לפגישה תמ"א נתב"ג- פרוגרמה תנועתית</t>
  </si>
  <si>
    <t xml:space="preserve"> מחלף נתב"ג מערב -סיור בשטח  מאיר רחמים המשטרה ומנהל הפרויקטים</t>
  </si>
  <si>
    <t>תמ"א נתב"ג תשתיות קרקעיות צוות מלווה - פגישה</t>
  </si>
  <si>
    <t xml:space="preserve">  דיון  נוסף והצגת תוכניות מעודכנות כולל בקרת איכות בנושא מיכלי סולר- לקראת ועדת תנועה 11/25</t>
  </si>
  <si>
    <t xml:space="preserve"> המשך ביצוע בקרת איכות לתוכנית + הכנת מצגת לקראת ועדת התנועה 11/25 </t>
  </si>
  <si>
    <t xml:space="preserve">  הכנה ודיון בועדת תנועה 11/25</t>
  </si>
  <si>
    <t xml:space="preserve"> שוטף עם ארזה ושירלי בנושא שונים</t>
  </si>
  <si>
    <t xml:space="preserve">  הכנת הפרוטוקול ובקשה לקבלת תוכניות מעודכנות  - ועדת תנועה 11/25 </t>
  </si>
  <si>
    <t xml:space="preserve">  המשך הכנת הפרוטוקול ובקשה לקבלת תוכניות מעודכנות  - ועדת תנועה 11/25 </t>
  </si>
  <si>
    <t xml:space="preserve"> מחלף נתב"ג מערב -קבלת תוכניות ולימוד החומר +דיון והצגת הסדרי תנועה זמניים שלב A3 ע"י המתכנן</t>
  </si>
  <si>
    <t xml:space="preserve">  דיון והצגת תוכניות  כולל בקרת איכות בנושא מיכלי סולר- לקראת ועדת תנועה 11/25</t>
  </si>
  <si>
    <t>קבלת תוכניות מעודכנות וביצוע בקרת איכות בנוגע למכלי הסולר ברחבי נתב"ג לטובת  היתרים- לקראת ועדת תנועה 11/25</t>
  </si>
  <si>
    <t xml:space="preserve"> ביצוע בקרת איכות לתוכנית +הכנת סדר יום+ מצגת והפצתו  במייל  לחברי ועדת התנועה 10/25 </t>
  </si>
  <si>
    <t xml:space="preserve"> ביצוע בקרת איכות לתוכנית +הכנת סדר יום סופי והפצתו ועדת תנועה 11/25</t>
  </si>
  <si>
    <t>דוח ביצוע שעות עבודה דצמבר 2025</t>
  </si>
  <si>
    <r>
      <rPr>
        <b/>
        <i/>
        <sz val="16"/>
        <rFont val="David"/>
        <family val="2"/>
      </rPr>
      <t>מספר ח-ן: 01122501</t>
    </r>
    <r>
      <rPr>
        <i/>
        <sz val="16"/>
        <rFont val="David"/>
        <family val="2"/>
      </rPr>
      <t xml:space="preserve">     </t>
    </r>
  </si>
  <si>
    <t xml:space="preserve"> שוטף עם ארזה ושירלי בנושאים שונים</t>
  </si>
  <si>
    <t>הכנה ושוטף עם ארזה ושירלי בנושאים שונים</t>
  </si>
  <si>
    <t xml:space="preserve"> דיון והצגת הנושא לבקשת המשטרה בנוגע לנספח התנועה של המשטרה</t>
  </si>
  <si>
    <t>חיפוש ומציאת שינוי גבולות רשות תמרור מסוף בגין</t>
  </si>
  <si>
    <t xml:space="preserve"> דיון סיור והצגת הנושא ע"י המתכננים בנושא  מחלף נתב"ג מערב שלב A1-הסדרי תנועה זמניים לקראת ועדת תנועה 01/26</t>
  </si>
  <si>
    <t xml:space="preserve"> הכנה והיכרות ראשונית  בנושא מחלף נתב"ג מערב שלב A1-הסדרי תנועה זמניים לקראת ועדת תנועה 01/26</t>
  </si>
  <si>
    <t xml:space="preserve"> סגירת פרוטוקול  קבלת  תוכניות מעודכנות סופיות ושליחת תוכניות לארכוב ועדת תנועה 11/25 </t>
  </si>
  <si>
    <t>שליחת תוכניות סופיות מעודכנות של ועדת תנועה 11/25 לאחר בקרת איכות למכון העתקות</t>
  </si>
  <si>
    <t xml:space="preserve"> UPS- לימוד ומתן חוות דעת בנושא  צומת </t>
  </si>
  <si>
    <t>שוטף עם ארזה ושירלי בנושאים שונים</t>
  </si>
  <si>
    <t xml:space="preserve"> לימוד והיכרות ראשונית  בנושא תוכנית אב לשילוט  עם שירלי</t>
  </si>
  <si>
    <t xml:space="preserve">  דיון  נוסף לבקשת מירב שולר עקב אי התאמה בין נספח התנועה לתוכניות האדרכליות  בנושא מכלי הסולר</t>
  </si>
  <si>
    <t xml:space="preserve">סגירת פרוטוקול לאחר קבלת תוכניות סופיות מעודכנות וארכוב ושליחה לחתימות -וועדת תנועה 11/25 </t>
  </si>
  <si>
    <t xml:space="preserve"> דיון   עם ניצן זוהר לבקשה לאיתור פרוטוקולים ותוכניות  בנושא חופש המידע לבקשת לבקשת עו"ד נטלי בן עו"ד לימור טנצ'ר</t>
  </si>
  <si>
    <t xml:space="preserve">   דיון נוסף והצגת הנושא מחלף נתב"ג מערב כולל ביצוע בקרת איכות לתוכניות הסדרי תנועה זמניים שלב A1</t>
  </si>
  <si>
    <t xml:space="preserve"> קבלת תוכניות ראשוניות-הכנה וביצוע בקרת איכות ראשונית בנושא תוכנית בינוי פז ומרקורי-נספח תנועה </t>
  </si>
  <si>
    <t xml:space="preserve"> קבלת תוכניות ראשוניות- הכנה וביצוע בקרת איכות ראשונית בנושא גדר חייץ למקטע 4 שלב א- הסדרי תנועה זמניים</t>
  </si>
  <si>
    <t xml:space="preserve"> דיון סיור והצגת התוכניות  עם המתכננים ומנהלי הפרויקט בנושא גדר חייץ למקטע 4 שלב א- הסדרי תנועה זמניים לקראת ועדת תנועה 02-26</t>
  </si>
  <si>
    <t xml:space="preserve"> קבלת תוכניות מעודכנות ובדיקת מחלף נתב"ג מערב שלב A1-הסדרי תנועה זמניים לקראת ועדת תנועה 01/26</t>
  </si>
  <si>
    <t>מתן מענה סופי כולל פרוטוקול חתום+תוכניות לעו"ד נטלי בן</t>
  </si>
  <si>
    <t>דוח ביצוע שעות עבודה ינואר 2026</t>
  </si>
  <si>
    <r>
      <rPr>
        <b/>
        <i/>
        <sz val="16"/>
        <rFont val="David"/>
        <family val="2"/>
      </rPr>
      <t>מספר ח-ן: 01012601</t>
    </r>
    <r>
      <rPr>
        <i/>
        <sz val="16"/>
        <rFont val="David"/>
        <family val="2"/>
      </rPr>
      <t xml:space="preserve">     </t>
    </r>
  </si>
  <si>
    <t xml:space="preserve"> דיון עם מנהל הפרוקיט ירון מנשה +אדם הכהן רמ"ח ציוד ושינוע-אגף שינוע+מפקח שי עמירה - בנוגע לתוכניות  סופיות וזמניות יב"ר  לבקשת אדם הכהן</t>
  </si>
  <si>
    <t xml:space="preserve"> ביצוע בקרת איכות לתוכניות +הכנת  סדר יום והפצתו לחברי הועדה  במייל לקראת ועדת התנועה 01/26 </t>
  </si>
  <si>
    <t xml:space="preserve"> דיון עם מנהל הפרוקיט ירון מנשה + מתכנן תנועה +אדם הכהן רמ"ח ציוד ושינוע-אגף שינוע+מפקח שי עמירה - בנוגע לתוכניות  סופיות וזמניות יב"ר  לבקשת אדם הכהן</t>
  </si>
  <si>
    <t xml:space="preserve"> דיון  הצגה ובקרת תוכניות בנושא מסוף בגין -הסדרי תנועה זמניים </t>
  </si>
  <si>
    <t xml:space="preserve">  המשך הכנת הפרוטוקול ובקשה לקבלת תוכניות מעודכנות  מחלף נתב"ג שלב A1 - ועדת תנועה  01/26</t>
  </si>
  <si>
    <t xml:space="preserve">  דרכים בנתב"ג - דיון  והצגת הנושאים שוטף עם שירלי</t>
  </si>
  <si>
    <t>בדיקה מתן התייחסות  מפורטת לנושא שינוי גבולות רשות תמרור מסוף בגין לכל הגורמים הרלוונטים</t>
  </si>
  <si>
    <t xml:space="preserve"> דיון ותיאום הסדרי תנועה זמניים מחלף נתב"ג שלב A1 עם יועצי התנועה</t>
  </si>
  <si>
    <t>דיון ובקרת איכות לתוכניות מעודכנות  בנוגע לתוכניות סופיות וזמניות יב"ר  לקראת ועדת תנועה 02/26 -סבב שני</t>
  </si>
  <si>
    <t xml:space="preserve">לימוד והיכרות עם פרויקט כביש 40 - עוקף תעשיה אוירית לקראת פורום נתב"ג </t>
  </si>
  <si>
    <t xml:space="preserve">לימוד והיכרות עם נושאי הדיון  לקראת פורום נתב"ג </t>
  </si>
  <si>
    <t>פורום נתב"ג</t>
  </si>
  <si>
    <t xml:space="preserve"> הפצת הפרוטוקול 01/26 לחברי ועדה התנועה כולל תיוק של התוכניות</t>
  </si>
  <si>
    <t xml:space="preserve"> סגירת הפרוטוקול  ושליחה לחתימות לאחר קבלת  תוכניות  סופיות מעודכנות ולאחר ביצוע  בקרת איכות  לנושאים בועדת תנועה 01/26 </t>
  </si>
  <si>
    <t>ארכוב ועדות תנועה אצל אודי עם ארזה</t>
  </si>
  <si>
    <t xml:space="preserve"> דיון והצגת  מחלף נתב"ג מערב שלב A1 למשטרה ולבטיחות עם המנהלי הפרוקיט +מתכננים לטובת אישור פריסת הסדרי תנועה זמניים בתוך נתב"ג </t>
  </si>
  <si>
    <t xml:space="preserve"> הפצת הפרוטוקול 11/25 לחברי ועדה התנועה </t>
  </si>
  <si>
    <t xml:space="preserve"> קבלת תוכניות מעודכנות לאחר הערות  רש"ת ודיון חוזר לתוכנית הסדרי תנועה זמניים להנחת קו ביוב רכבת תעופה - מול מתכנני התנועה לקראת ועדת תנועה - 02/26</t>
  </si>
  <si>
    <t xml:space="preserve">  דיון  נוסף לבקשת מירב שולר עקב אי התאמה בין נספח התנועה לתוכניות האדרכליות  בנושא מכלי הסולר-נדרש מדידה מעודכנת ותיקון של התוכניות והעברה  חוזרת לדיון בועדת התנועה</t>
  </si>
  <si>
    <t>דיון וסיור  בשטח עם מנהל הפרוקיט ירון מנשה +אדם הכהן רמ"ח ציוד ושינוע-אגף שינוע+מפקח שי עמירה - בנוגע לתוכניות  סופיות וזמניות יב"ר  לבקשת אדם הכהן</t>
  </si>
  <si>
    <t>הכנת דוח טבלת מאזן חניה לתוכנית בינוי מתחם משאיות ותדלוק פז ומרקורי לאחר קבלת הפרוגרמה</t>
  </si>
  <si>
    <t xml:space="preserve"> הכנה והיכרות ראשונית לנספח התנועה  הרחבת תשתית טרמינלית- זרוע A- תכנון סופי  לקראת ועדת תנועה - 02/26</t>
  </si>
  <si>
    <t xml:space="preserve">  איסוף  בקרת איכות לתוכניות והכנת הנושאים לסדר יום ועדת תנועה 02/26</t>
  </si>
  <si>
    <t>בדיקה ובחינה בנוגע למעברי חירום בנתב"ג מול המתכנן לבקשת מנהל חטיבת בטחון</t>
  </si>
  <si>
    <t xml:space="preserve">  הכנת הפרוטוקול  ובקשה לקבלת תוכניות מעודכנות  מחלף נתב"ג שלב A1 - ועדת תנועה  01/26</t>
  </si>
  <si>
    <t>הנחת קו ביוב מתחנת רכבת תעופה- הסדרי תנועה זמניים -סיור  והצגת הנושא ע"י מנהל הפרויקט שמעון שטרית  לקראת ועדת תנועה 02/26</t>
  </si>
  <si>
    <t xml:space="preserve"> הכנה והיכרות ראשונית  בנושא תוכנית בינוי למתחם משאיות תדלוק פז ומרקורי-נספח תנועה -סבב ראשון</t>
  </si>
  <si>
    <t xml:space="preserve"> קבלת תוכנית בינוי למתחם משאיות תדלוק פז ומרקורי- דיון ובקרת איכות מול היזמים והמתכננים לנספח תנועה </t>
  </si>
  <si>
    <t xml:space="preserve">  קבלת תוכניות מעודכנות לאחר הערות  רש"ת  ודיון חוזר לנספח התנועה של תוכנית הבינוי למשאיות תדלוק פז ומרקורי - מול מתכנני התנועה לקראת ועדת תנועה - 02/26</t>
  </si>
  <si>
    <t>המשך  איסוף  וביצוע בקרת איכות לתוכניות והכנת הנושאים לסדר יום ועדת תנועה 02/26</t>
  </si>
  <si>
    <t xml:space="preserve">היכרות עם פרויקט  תחנת דלק  וטיפול בבקשת גדי רפאלי בנוגע למציאת  תוכניות  מצב קיים והעברתם למתכננים </t>
  </si>
  <si>
    <t xml:space="preserve"> הכנה והיכרות ראשוני כולל דיון לתוכנית הסדרי תנועה זמניים להנחת קו ביוב רכבת תעופה - מול מתכנני התנועה לקראת ועדת תנועה סבב ראשון - 02/26</t>
  </si>
  <si>
    <t xml:space="preserve"> תוכנית בינוי למתחם משאיות תדלוק פז ומרקורי- בקרת איכות ומתן הערות  לנספח תנועה </t>
  </si>
  <si>
    <t xml:space="preserve">  קבלת פרוגרמה  של תוכנית הבינוי למתחם משאיות לתדלוק פז ומרקורי מהאדריכל - לימוד והיכרות עם דרישות התנועה בנספח זה </t>
  </si>
  <si>
    <t xml:space="preserve"> קבלת תוכניות מעודכנות לאחר הערות  רש"ת ודיון חוזר  סבב שני כולל לביצוע עבודות לילה לתוכנית הסדרי תנועה זמניים להנחת קו ביוב רכבת תעופה - מול מתכנני התנועה  והקבלן סבב שני לקראת ועדת תנועה - 02/26</t>
  </si>
  <si>
    <t xml:space="preserve">  המשך ביצוע בקרת איכות לנספח התנועה כולל דיון בנושא הרחבת תשתית טרמינלית- זרוע A- תכנון סופי  לקראת ועדת תנועה - 02/26</t>
  </si>
  <si>
    <t xml:space="preserve"> המשך הכנת פרוטוקול ובקשה לקבלת התוכניות מעודכנות  לנושאים שונים בועדת תנועה 11/25 </t>
  </si>
  <si>
    <t xml:space="preserve"> הכנת הפרוטוקול כולל ביצוע בקרת איכות לחלק מהתוכניות וועדת תנועה 11/25 </t>
  </si>
  <si>
    <t>הכנה + פגישה בנושא הארכוב עם ארזה ואודי מחלקת GIS</t>
  </si>
  <si>
    <t>דיון ובקרת איכות לתוכניות מעודכנות  בנוגע לתוכניות פז מרקורי  לקראת ועדת תנועה 02/26 -סבב שני</t>
  </si>
  <si>
    <t xml:space="preserve"> קבלת תוכניות מעודכנות לאחר הערות  רש"ת ודיונים חוזרים  סבב שלישי כולל לביצוע עבודות לילה לתוכנית הסדרי תנועה זמניים להנחת קו ביוב רכבת תעופה - מול מתכנני התנועה  והקבלן סבב שני לקראת ועדת תנועה - 02/26</t>
  </si>
  <si>
    <t xml:space="preserve"> הכנה והיכרות ראשונית כולל דיון  עם מנהלי הפרויקט בנושא ניתוח תנועתי ודרכי גישה לחניון משכרות </t>
  </si>
  <si>
    <t xml:space="preserve"> הכנת  סדר יום  סופי והפצתו לחברי הועדה לקראת ועדת התנועה 02/26 </t>
  </si>
  <si>
    <t xml:space="preserve"> דיון והצגת הנושא ע"י המתכננים בנושא  אל על צילר -נספח תנועה  לקראת ועדת תנועה 02/26</t>
  </si>
  <si>
    <t xml:space="preserve"> קבלת תוכניות מעודכנות לנספח התנועה  הרחבת תשתית טרמינלית- זרוע A- תכנון סופי   ודיון לקראת ועדת תנועה - 02/26</t>
  </si>
  <si>
    <t xml:space="preserve"> המשך ביצוע בקרת איכות לתוכניות + הכנת מצגת לקראת ועדת התנועה 02/26 </t>
  </si>
  <si>
    <t xml:space="preserve">  הכנה ודיון בועדת תנועה 02/26</t>
  </si>
  <si>
    <t xml:space="preserve"> הכנת הפרוטוקול כולל ביצוע בקרת איכות לתוכניות וועדת תנועה 02/26 </t>
  </si>
  <si>
    <t xml:space="preserve"> דיון ובחינה מחדש  הסדרי התנועה הזמניים מחלף נתב"ג מערב שלב A1   עם המתכננים+ עירד  לטובת אישור פריסת הסדרי תנועה זמניים בתוך נתב"ג </t>
  </si>
  <si>
    <t>דיון ראשוני במחלף נתב"ג מערב שלב א-עם המתכננת לשינוי הסדרי התנועה הזמניים שלב A1  בהתאם לבקשת וועדת התנועה 02/26</t>
  </si>
  <si>
    <t xml:space="preserve">דיון  בוועדת התנועה במחלף נתב"ג מערב שלב A1 (נושא שלא בסדר יום)- לשינוי  הסדרי התנועה הזמניים לשלב זה  </t>
  </si>
  <si>
    <t xml:space="preserve"> המשך היכרות עם פרויקט  הרחבת תחנת הדלק -הסדרי תנועה וחניה  כולל דיון והצגת  התוכנית ע"י המתכנן </t>
  </si>
  <si>
    <t xml:space="preserve"> מכינה לפגישה עם מנהל נתב"ג בנושא תחבורה  - לימוד ודיון </t>
  </si>
  <si>
    <t>המשך דיון מחלף נתב"ג מערב שלב A1-עם המתכננת בנוגע ליציאת/ כניסת משאיות ומסלולם  בזמן עבודות .</t>
  </si>
  <si>
    <t xml:space="preserve"> ביצוע בקרת איכות לתוכניות + הכנת מצגת לקראת ועדת התנועה 02/26 </t>
  </si>
  <si>
    <t>דוח ביצוע שעות עבודה  אפריל 2026</t>
  </si>
  <si>
    <r>
      <rPr>
        <b/>
        <i/>
        <sz val="16"/>
        <rFont val="David"/>
        <family val="2"/>
      </rPr>
      <t>מספר ח-ן: 01042601</t>
    </r>
    <r>
      <rPr>
        <i/>
        <sz val="16"/>
        <rFont val="David"/>
        <family val="2"/>
      </rPr>
      <t xml:space="preserve">     </t>
    </r>
  </si>
  <si>
    <r>
      <rPr>
        <b/>
        <i/>
        <sz val="16"/>
        <rFont val="David"/>
        <family val="2"/>
      </rPr>
      <t xml:space="preserve"> מספר ח-ן: 01022601  </t>
    </r>
    <r>
      <rPr>
        <i/>
        <sz val="16"/>
        <rFont val="David"/>
        <family val="2"/>
      </rPr>
      <t xml:space="preserve">   </t>
    </r>
  </si>
  <si>
    <t>דוח ביצוע שעות עבודה פברואר  2026</t>
  </si>
  <si>
    <t>דוח ביצוע שעות עבודה מרץ 2026</t>
  </si>
  <si>
    <r>
      <rPr>
        <b/>
        <i/>
        <sz val="16"/>
        <rFont val="David"/>
        <family val="2"/>
      </rPr>
      <t xml:space="preserve"> מספר ח-ן: 01032601  </t>
    </r>
    <r>
      <rPr>
        <i/>
        <sz val="16"/>
        <rFont val="David"/>
        <family val="2"/>
      </rPr>
      <t xml:space="preserve">   </t>
    </r>
  </si>
  <si>
    <t xml:space="preserve"> בקרת איכות  לתוכנית המוצעת למחלף נתב"ג מערב  A1   והעברת בקשה להתייחסותם של חברי הועדה בנוגע  לחלופה המוצעת</t>
  </si>
  <si>
    <t xml:space="preserve">  מחלף נתב"ג מערב שלב A1 - המשך התייעצות עם חברי הועדה ובקשה לדיון מחדש בנוגע להסדרי התנועה הזמניים המוצעים </t>
  </si>
  <si>
    <t xml:space="preserve"> קבלת תוכניות מעודכנות וביצוע בקרת איכות לנספח התנועה  מיקום צ'ילר אל על ועדת תנועה - 02/26</t>
  </si>
  <si>
    <t xml:space="preserve">דיון ובקרת איכות לתוכניות תחנת תדלוק  נתב"ג - הסדרי תנועה וחניה סבב שני  </t>
  </si>
  <si>
    <t xml:space="preserve">  טיפול  ומסירת פרוטולים+תוכניות לבקשת חוק חופש המידע  בנושא רמזור UPS</t>
  </si>
  <si>
    <t xml:space="preserve"> הכנה  לימוד והיכרות ראשונית כולל דיון  בנושא :  גדר חי"ץ תע"א -רש"ת  - הסדרי תנועה זמניים מקטע 4 </t>
  </si>
  <si>
    <t xml:space="preserve">קבלת תוכניות מעודכנות וביצוע בקרת איכות כולל דיון  בנושא :  גדר חי"ץ תע"א -רש"ת  - הסדרי תנועה זמניים מקטע 4 </t>
  </si>
  <si>
    <t xml:space="preserve">  התייעצות  ובחינה מחדש עם מתכנן התנועה הסדרי תנועה זמניים מחלף נתב"ג מערב שלב A1  -  ובחינת חלופות נוספות לכניסת/ יציאת משאיות מאתרי העבודה </t>
  </si>
  <si>
    <t xml:space="preserve"> פניה  מחודשת התייעצות ודיון  מחדש בשל הצורך בעדכון התוכניות  בנוגע להסדרי תנועה תמרור וסימון מכלי סולר ברחבי נתב"ג לטובת  היתרים- סבב נוסף - לקראת ועדת תנועה 03/26</t>
  </si>
  <si>
    <t xml:space="preserve"> הכנה  לימוד והיכרות ראשונית לקראת דיון  בנושא :  מחלף נתב"ג מערב הסדרי תנועה זמניים MLR+ שלב ב</t>
  </si>
  <si>
    <t xml:space="preserve">   בקרה לתוכניות ודיון רב משתתפים בנושא :  מחלף נתב"ג מערב-  הסדרי תנועה זמניים לשלבי ביצוע MLR + שלב ב   </t>
  </si>
  <si>
    <t xml:space="preserve"> קבלת סיכום דיון + סקיצה  לנסיעת משאיות דרך MLR נתב"ג לאחר דיון  בנושא :  מחלף נתב"ג מערב הסדרי תנועה זמניים MLR+ שלב ב</t>
  </si>
  <si>
    <t xml:space="preserve"> הכנה  לימוד והיכרות ראשונית  בנושא : הרחבות טרמינל קרקעי מזרחי</t>
  </si>
  <si>
    <t>קבלת תוכניות מעודכנות מתן התייחסות  וסגירת סדר היום לועדת תנועה 03/26</t>
  </si>
  <si>
    <t>בקשה לאיתור  כולל דיון לתוכניות ופרוטוקולים  לחניונים מול  עו"ד לימור ט'נצר</t>
  </si>
  <si>
    <t xml:space="preserve"> הכנת סדר יום לועדת תנועה 03/26</t>
  </si>
  <si>
    <t xml:space="preserve"> ביצוע בקרת איכות לתוכניות +הכנת  סדר יום והפצתו לחברי הועדה  במייל לקראת ועדת התנועה 03/26 </t>
  </si>
  <si>
    <t xml:space="preserve"> שליחת חומרים לארכוב לאחר בקרת איכות לתוכניות- וועדת תנועה 02/26 </t>
  </si>
  <si>
    <t xml:space="preserve">  מחלף נתב"ג מערב שלב A1 - קבלת תוכניות  מעודכנות  בחינה ובדיקת ההסדרים לקראת דיון לביצוע פירוק המדרכה והסדרת מסלול יציאה למשאיות -שלב מקדים ל - A1</t>
  </si>
  <si>
    <t xml:space="preserve"> הכנת הפרוטוקול כולל ביצוע בקרת איכות לתוכניות ושליחה תוכניות לארכוב לועדת תנועה 03/26 </t>
  </si>
  <si>
    <t xml:space="preserve">  מחלף נתב"ג מערב שלב A1 - דיון עם מתכנן התנועה בנוגע להסדרי התנועה הזמניים לביצוע פירוק המדרכה והסדרת מסלול יציאה למשאיות -שלב מקדים ל - A1</t>
  </si>
  <si>
    <t xml:space="preserve">  המשך הכנת הפרוטוקול כולל ביצוע בקרת איכות לתוכניות  ועדת תנועה 02/26 ובקשה לעדכון התוכניות מול המתכננים</t>
  </si>
  <si>
    <t xml:space="preserve"> המשך הכנת הפרוטוקול כולל ביצוע בקרת איכות לתוכניות ושליחת הערות לתיקונים מול יועצי התנועה לאחר ועדת תנועה 02/26 </t>
  </si>
  <si>
    <t xml:space="preserve"> דיון עם המתכננים והמנהלי הפרויקט  בנוגע לנספח התנועה  הרחבה מזרחית-תוכנית הסדרי תנועה זמניים לקראת ועדת תנועה - 04/26</t>
  </si>
  <si>
    <t xml:space="preserve"> הכנה והיכרות ראשונית נספח התנועה הרחבה מזרחית- תכנון הסדרי תנועה זמניים  מפלס G לקראת ועדת תנועה - 04/26</t>
  </si>
  <si>
    <t xml:space="preserve">  מתן מענה סופי כולל  מסירת פרוטוקול חתום+תוכניות לעו"ד לימור טנצ'ר - תובעת רשותית</t>
  </si>
  <si>
    <t xml:space="preserve">  מחלף נתב"ג מערב שלב A1 - קבלת תוכניות  מעודכנות  לאחר ישיבת התייעצות מול גורמים הרלוונטים ברשות בנוגע הסדרי תנועה זמניים שלב A1. </t>
  </si>
  <si>
    <t>קבלת תוכניות מעודכנות  סופיות ביצוע בקרת איכות ועדת תנועה 02/26  ושליחה לארכוב</t>
  </si>
  <si>
    <t xml:space="preserve"> הכנה והיכרות ראשונית חניון בנין ראשי ישן (מושכרות)-   תכנון הסדרי תנועה וחניה כולל דיון עם מתכנני התנועה ומנהלי הפרויקט  </t>
  </si>
  <si>
    <t xml:space="preserve"> הכנה והיכרות ראשונית כולל דיון רב משתתפים בנושא :  מחלף נתב"ג מערב-  הצגת עקרונות להסדרי תנועה זמניים שלב ב </t>
  </si>
  <si>
    <t xml:space="preserve"> לימוד הכנה נושאי תנועה לקראת דיון  כולל  דיון בלשכת המנכ"ל נתב"ג </t>
  </si>
  <si>
    <t>קבלת תוכניות מעודכנות  סופיות ביצוע בקרת איכות ועדת תנועה 03/26  ושליחה לארכוב</t>
  </si>
  <si>
    <t>סגירת פרוטוקול 03/26  ושליחת תוכניות סופיות  להעתקות</t>
  </si>
  <si>
    <t xml:space="preserve">סגירת פרוטוקול 02/26  ושליחת תוכניות סופיות להעתקות </t>
  </si>
  <si>
    <t xml:space="preserve"> הצגת תוכניות הסדרי התנועה הזמניים לביצוע כולל עבודות לילה -הנחת קו ביוב רכבת תעופה - תיאום  מול הקבלן + המשטרה  </t>
  </si>
  <si>
    <t xml:space="preserve"> ביצוע בקרת איכות לתוכניות +הכנת  סדר יום והפצתו לחברי הועדה  במייל לקראת ועדת התנועה 04/26 </t>
  </si>
  <si>
    <t xml:space="preserve">  הכנה ודיון בועדת תנועה 04/26</t>
  </si>
  <si>
    <t>קבלת תוכניות והיכרות ראשונית עם תוכנית הבינוי -מבנה אנרגיה נתב"ג - נספח התנועה</t>
  </si>
  <si>
    <t>פורום נתב"ג - דיון</t>
  </si>
  <si>
    <t>הכנה ולמידת נושאים  לקראת פורום נתב"ג</t>
  </si>
  <si>
    <t xml:space="preserve">  מחלף נתב"ג מערב שלב A1 -  קבלת תוכניות  מעודכנות בחינה ובדיקת ההסדרים למסלול  שלבים A0 וA1  כולל דיון מול מנהלי הפרויקט לקבלת הבהרות </t>
  </si>
  <si>
    <t xml:space="preserve">   הכנת הפרוטוקול כולל ביצוע בקרת איכות לתוכניות  ועדת תנועה 04/26 ובקשה לעדכון התוכניות מול המתכננים</t>
  </si>
  <si>
    <t xml:space="preserve"> קבלת תוכניות מעודכנות + סגירת סדר יום סופי + והכנת מצגת   לועדת תנועה 04/26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</si>
</sst>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charset val="177"/>
      <scheme val="minor"/>
    </font>
    <font>
      <b/>
      <i/>
      <sz val="20"/>
      <name val="David"/>
      <family val="2"/>
      <charset val="177"/>
    </font>
    <font>
      <i/>
      <sz val="10"/>
      <name val="Arial"/>
      <family val="2"/>
    </font>
    <font>
      <b/>
      <i/>
      <sz val="18"/>
      <name val="David"/>
      <family val="2"/>
      <charset val="177"/>
    </font>
    <font>
      <sz val="14"/>
      <name val="Arial"/>
      <family val="2"/>
    </font>
    <font>
      <b/>
      <sz val="16"/>
      <name val="David"/>
      <family val="2"/>
      <charset val="177"/>
    </font>
    <font>
      <sz val="16"/>
      <name val="David"/>
      <family val="2"/>
      <charset val="177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name val="David"/>
      <family val="2"/>
    </font>
    <font>
      <b/>
      <sz val="18"/>
      <name val="David"/>
      <family val="2"/>
      <charset val="177"/>
    </font>
    <font>
      <sz val="16"/>
      <name val="David"/>
      <family val="2"/>
    </font>
    <font>
      <b/>
      <i/>
      <sz val="14"/>
      <name val="David"/>
      <family val="2"/>
      <charset val="177"/>
    </font>
    <font>
      <sz val="16"/>
      <name val="Arial"/>
      <family val="2"/>
    </font>
    <font>
      <sz val="14"/>
      <name val="David"/>
      <family val="2"/>
      <charset val="177"/>
    </font>
    <font>
      <b/>
      <sz val="14"/>
      <name val="David"/>
      <family val="2"/>
      <charset val="177"/>
    </font>
    <font>
      <b/>
      <sz val="14"/>
      <name val="Guttman Yad-Brush"/>
      <charset val="177"/>
    </font>
    <font>
      <b/>
      <sz val="14"/>
      <name val="David"/>
      <family val="2"/>
    </font>
    <font>
      <b/>
      <i/>
      <sz val="16"/>
      <name val="David"/>
      <family val="2"/>
      <charset val="177"/>
    </font>
    <font>
      <i/>
      <sz val="16"/>
      <name val="David"/>
      <family val="2"/>
      <charset val="177"/>
    </font>
    <font>
      <b/>
      <i/>
      <sz val="16"/>
      <name val="David"/>
      <family val="2"/>
    </font>
    <font>
      <i/>
      <sz val="16"/>
      <name val="David"/>
      <family val="2"/>
    </font>
    <font>
      <i/>
      <sz val="14"/>
      <name val="Arial"/>
      <family val="2"/>
      <charset val="177"/>
    </font>
    <font>
      <i/>
      <sz val="11"/>
      <color theme="1"/>
      <name val="Arial"/>
      <family val="2"/>
      <charset val="177"/>
      <scheme val="minor"/>
    </font>
    <font>
      <i/>
      <sz val="10"/>
      <name val="Arial"/>
      <family val="2"/>
      <charset val="177"/>
    </font>
    <font>
      <i/>
      <sz val="16"/>
      <name val="Arial"/>
      <family val="2"/>
      <charset val="177"/>
    </font>
    <font>
      <b/>
      <u/>
      <sz val="14"/>
      <name val="David"/>
      <family val="2"/>
      <charset val="177"/>
    </font>
    <font>
      <u/>
      <sz val="14"/>
      <name val="David"/>
      <family val="2"/>
      <charset val="177"/>
    </font>
    <font>
      <b/>
      <sz val="16"/>
      <color rgb="FFFF0000"/>
      <name val="David"/>
      <family val="2"/>
    </font>
    <font>
      <i/>
      <sz val="14"/>
      <name val="David"/>
      <family val="2"/>
      <charset val="177"/>
    </font>
    <font>
      <b/>
      <i/>
      <u/>
      <sz val="14"/>
      <name val="David"/>
      <family val="2"/>
      <charset val="177"/>
    </font>
    <font>
      <i/>
      <u/>
      <sz val="14"/>
      <name val="David"/>
      <family val="2"/>
      <charset val="177"/>
    </font>
    <font>
      <b/>
      <i/>
      <sz val="14"/>
      <name val="Guttman Yad-Brush"/>
      <charset val="177"/>
    </font>
    <font>
      <b/>
      <i/>
      <sz val="14"/>
      <name val="David"/>
      <family val="2"/>
    </font>
    <font>
      <b/>
      <i/>
      <sz val="14"/>
      <color theme="1"/>
      <name val="David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01">
    <xf numFmtId="0" fontId="0" fillId="0" borderId="0" xfId="0"/>
    <xf numFmtId="0" fontId="2" fillId="0" borderId="2" xfId="0" applyFont="1" applyBorder="1"/>
    <xf numFmtId="0" fontId="4" fillId="0" borderId="2" xfId="0" applyFont="1" applyBorder="1"/>
    <xf numFmtId="16" fontId="6" fillId="0" borderId="14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" fontId="6" fillId="0" borderId="15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" fontId="6" fillId="0" borderId="16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" fontId="6" fillId="0" borderId="1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" fontId="6" fillId="0" borderId="18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2" borderId="24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 wrapText="1"/>
    </xf>
    <xf numFmtId="17" fontId="9" fillId="0" borderId="3" xfId="0" applyNumberFormat="1" applyFont="1" applyBorder="1" applyAlignment="1">
      <alignment horizontal="center" vertical="center" wrapText="1"/>
    </xf>
    <xf numFmtId="17" fontId="9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4" fillId="0" borderId="27" xfId="0" applyFont="1" applyBorder="1"/>
    <xf numFmtId="0" fontId="13" fillId="0" borderId="2" xfId="0" applyFont="1" applyBorder="1"/>
    <xf numFmtId="0" fontId="13" fillId="0" borderId="27" xfId="0" applyFont="1" applyBorder="1"/>
    <xf numFmtId="0" fontId="4" fillId="0" borderId="27" xfId="0" applyFont="1" applyBorder="1" applyAlignment="1">
      <alignment horizontal="center"/>
    </xf>
    <xf numFmtId="0" fontId="14" fillId="0" borderId="33" xfId="0" applyFont="1" applyBorder="1"/>
    <xf numFmtId="0" fontId="4" fillId="0" borderId="34" xfId="0" applyFont="1" applyBorder="1" applyAlignment="1">
      <alignment horizontal="center"/>
    </xf>
    <xf numFmtId="2" fontId="12" fillId="0" borderId="38" xfId="0" applyNumberFormat="1" applyFont="1" applyBorder="1" applyAlignment="1">
      <alignment horizontal="center" vertical="center"/>
    </xf>
    <xf numFmtId="16" fontId="6" fillId="0" borderId="40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2" fontId="12" fillId="0" borderId="43" xfId="0" applyNumberFormat="1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2" borderId="50" xfId="0" applyFont="1" applyFill="1" applyBorder="1" applyAlignment="1">
      <alignment horizontal="center" vertical="center"/>
    </xf>
    <xf numFmtId="0" fontId="1" fillId="0" borderId="31" xfId="0" applyFont="1" applyBorder="1"/>
    <xf numFmtId="0" fontId="0" fillId="0" borderId="31" xfId="0" applyBorder="1"/>
    <xf numFmtId="0" fontId="0" fillId="0" borderId="32" xfId="0" applyBorder="1"/>
    <xf numFmtId="0" fontId="2" fillId="0" borderId="0" xfId="0" applyFont="1"/>
    <xf numFmtId="0" fontId="0" fillId="0" borderId="27" xfId="0" applyBorder="1"/>
    <xf numFmtId="0" fontId="4" fillId="0" borderId="0" xfId="0" applyFont="1"/>
    <xf numFmtId="0" fontId="0" fillId="0" borderId="2" xfId="0" applyBorder="1"/>
    <xf numFmtId="0" fontId="12" fillId="0" borderId="0" xfId="0" applyFont="1"/>
    <xf numFmtId="0" fontId="12" fillId="0" borderId="0" xfId="0" applyFont="1" applyAlignment="1">
      <alignment horizontal="center"/>
    </xf>
    <xf numFmtId="2" fontId="12" fillId="0" borderId="0" xfId="0" applyNumberFormat="1" applyFont="1"/>
    <xf numFmtId="2" fontId="12" fillId="0" borderId="0" xfId="0" applyNumberFormat="1" applyFont="1" applyAlignment="1">
      <alignment horizontal="center"/>
    </xf>
    <xf numFmtId="0" fontId="13" fillId="0" borderId="0" xfId="0" applyFont="1"/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/>
    <xf numFmtId="16" fontId="6" fillId="0" borderId="52" xfId="0" applyNumberFormat="1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/>
    </xf>
    <xf numFmtId="2" fontId="18" fillId="2" borderId="36" xfId="0" applyNumberFormat="1" applyFont="1" applyFill="1" applyBorder="1" applyAlignment="1">
      <alignment horizontal="center" vertical="center"/>
    </xf>
    <xf numFmtId="2" fontId="18" fillId="0" borderId="38" xfId="0" applyNumberFormat="1" applyFont="1" applyBorder="1" applyAlignment="1">
      <alignment horizontal="center" vertical="center"/>
    </xf>
    <xf numFmtId="2" fontId="18" fillId="0" borderId="39" xfId="0" applyNumberFormat="1" applyFont="1" applyBorder="1" applyAlignment="1">
      <alignment horizontal="center" vertical="center"/>
    </xf>
    <xf numFmtId="2" fontId="18" fillId="2" borderId="46" xfId="0" applyNumberFormat="1" applyFont="1" applyFill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 wrapText="1"/>
    </xf>
    <xf numFmtId="17" fontId="18" fillId="0" borderId="3" xfId="0" applyNumberFormat="1" applyFont="1" applyBorder="1" applyAlignment="1">
      <alignment horizontal="center" vertical="center" wrapText="1"/>
    </xf>
    <xf numFmtId="17" fontId="18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2" fillId="0" borderId="2" xfId="0" applyFont="1" applyBorder="1"/>
    <xf numFmtId="0" fontId="22" fillId="0" borderId="0" xfId="0" applyFont="1"/>
    <xf numFmtId="0" fontId="23" fillId="0" borderId="2" xfId="0" applyFont="1" applyBorder="1"/>
    <xf numFmtId="0" fontId="23" fillId="0" borderId="0" xfId="0" applyFont="1"/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16" fontId="19" fillId="0" borderId="18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16" fontId="19" fillId="0" borderId="14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" fontId="19" fillId="0" borderId="40" xfId="0" applyNumberFormat="1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24" fillId="0" borderId="2" xfId="0" applyFont="1" applyBorder="1"/>
    <xf numFmtId="0" fontId="24" fillId="0" borderId="0" xfId="0" applyFont="1"/>
    <xf numFmtId="16" fontId="19" fillId="0" borderId="12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16" fontId="19" fillId="0" borderId="15" xfId="0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6" fontId="19" fillId="0" borderId="16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6" fontId="19" fillId="0" borderId="17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8" fillId="2" borderId="24" xfId="0" applyFont="1" applyFill="1" applyBorder="1" applyAlignment="1">
      <alignment horizontal="center"/>
    </xf>
    <xf numFmtId="0" fontId="25" fillId="0" borderId="2" xfId="0" applyFont="1" applyBorder="1"/>
    <xf numFmtId="0" fontId="25" fillId="0" borderId="0" xfId="0" applyFont="1"/>
    <xf numFmtId="0" fontId="18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4" fontId="18" fillId="0" borderId="37" xfId="0" applyNumberFormat="1" applyFont="1" applyBorder="1" applyAlignment="1">
      <alignment horizontal="center" vertical="center"/>
    </xf>
    <xf numFmtId="4" fontId="12" fillId="0" borderId="38" xfId="0" applyNumberFormat="1" applyFont="1" applyBorder="1" applyAlignment="1">
      <alignment horizontal="center" vertical="center"/>
    </xf>
    <xf numFmtId="4" fontId="12" fillId="0" borderId="43" xfId="0" applyNumberFormat="1" applyFont="1" applyBorder="1" applyAlignment="1">
      <alignment horizontal="center" vertical="center"/>
    </xf>
    <xf numFmtId="4" fontId="18" fillId="2" borderId="36" xfId="0" applyNumberFormat="1" applyFont="1" applyFill="1" applyBorder="1" applyAlignment="1">
      <alignment horizontal="center" vertical="center"/>
    </xf>
    <xf numFmtId="0" fontId="9" fillId="0" borderId="60" xfId="0" applyFont="1" applyBorder="1" applyAlignment="1">
      <alignment horizontal="center" vertical="center" wrapText="1"/>
    </xf>
    <xf numFmtId="0" fontId="9" fillId="0" borderId="61" xfId="0" applyFont="1" applyBorder="1" applyAlignment="1">
      <alignment horizontal="center" vertical="center" wrapText="1"/>
    </xf>
    <xf numFmtId="0" fontId="9" fillId="0" borderId="67" xfId="0" applyFont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26" fillId="0" borderId="7" xfId="0" applyFont="1" applyBorder="1" applyAlignment="1">
      <alignment horizontal="center"/>
    </xf>
    <xf numFmtId="0" fontId="27" fillId="0" borderId="7" xfId="0" applyFont="1" applyBorder="1"/>
    <xf numFmtId="0" fontId="27" fillId="0" borderId="25" xfId="0" applyFont="1" applyBorder="1"/>
    <xf numFmtId="0" fontId="9" fillId="0" borderId="9" xfId="0" applyFont="1" applyBorder="1" applyAlignment="1">
      <alignment horizontal="center" vertical="center" wrapText="1"/>
    </xf>
    <xf numFmtId="0" fontId="9" fillId="0" borderId="69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 wrapText="1"/>
    </xf>
    <xf numFmtId="0" fontId="17" fillId="0" borderId="69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7" fillId="0" borderId="61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wrapText="1"/>
    </xf>
    <xf numFmtId="0" fontId="17" fillId="0" borderId="68" xfId="0" applyFont="1" applyBorder="1" applyAlignment="1">
      <alignment horizontal="center" wrapText="1"/>
    </xf>
    <xf numFmtId="0" fontId="9" fillId="2" borderId="69" xfId="0" applyFont="1" applyFill="1" applyBorder="1" applyAlignment="1">
      <alignment horizontal="center"/>
    </xf>
    <xf numFmtId="0" fontId="5" fillId="2" borderId="41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23" fillId="0" borderId="31" xfId="0" applyFont="1" applyBorder="1"/>
    <xf numFmtId="0" fontId="23" fillId="0" borderId="32" xfId="0" applyFont="1" applyBorder="1"/>
    <xf numFmtId="0" fontId="23" fillId="0" borderId="27" xfId="0" applyFont="1" applyBorder="1"/>
    <xf numFmtId="0" fontId="18" fillId="2" borderId="72" xfId="0" applyFont="1" applyFill="1" applyBorder="1" applyAlignment="1">
      <alignment horizontal="center" vertical="center" wrapText="1"/>
    </xf>
    <xf numFmtId="0" fontId="18" fillId="2" borderId="73" xfId="0" applyFont="1" applyFill="1" applyBorder="1" applyAlignment="1">
      <alignment horizontal="center" vertical="center" wrapText="1"/>
    </xf>
    <xf numFmtId="0" fontId="18" fillId="2" borderId="73" xfId="0" applyFont="1" applyFill="1" applyBorder="1" applyAlignment="1">
      <alignment vertical="center" wrapText="1"/>
    </xf>
    <xf numFmtId="0" fontId="18" fillId="2" borderId="74" xfId="0" applyFont="1" applyFill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8" fillId="2" borderId="41" xfId="0" applyFont="1" applyFill="1" applyBorder="1" applyAlignment="1">
      <alignment horizontal="center"/>
    </xf>
    <xf numFmtId="0" fontId="18" fillId="2" borderId="69" xfId="0" applyFont="1" applyFill="1" applyBorder="1" applyAlignment="1">
      <alignment horizontal="center"/>
    </xf>
    <xf numFmtId="0" fontId="22" fillId="0" borderId="27" xfId="0" applyFont="1" applyBorder="1"/>
    <xf numFmtId="0" fontId="25" fillId="0" borderId="27" xfId="0" applyFont="1" applyBorder="1"/>
    <xf numFmtId="0" fontId="30" fillId="0" borderId="7" xfId="0" applyFont="1" applyBorder="1" applyAlignment="1">
      <alignment horizontal="center"/>
    </xf>
    <xf numFmtId="0" fontId="31" fillId="0" borderId="7" xfId="0" applyFont="1" applyBorder="1"/>
    <xf numFmtId="0" fontId="31" fillId="0" borderId="25" xfId="0" applyFont="1" applyBorder="1"/>
    <xf numFmtId="0" fontId="29" fillId="0" borderId="0" xfId="0" applyFont="1" applyAlignment="1">
      <alignment horizontal="center"/>
    </xf>
    <xf numFmtId="0" fontId="22" fillId="0" borderId="27" xfId="0" applyFont="1" applyBorder="1" applyAlignment="1">
      <alignment horizontal="center"/>
    </xf>
    <xf numFmtId="0" fontId="29" fillId="0" borderId="33" xfId="0" applyFont="1" applyBorder="1"/>
    <xf numFmtId="0" fontId="22" fillId="0" borderId="34" xfId="0" applyFont="1" applyBorder="1" applyAlignment="1">
      <alignment horizontal="center"/>
    </xf>
    <xf numFmtId="0" fontId="33" fillId="0" borderId="68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16" fontId="19" fillId="0" borderId="70" xfId="0" applyNumberFormat="1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8" fillId="2" borderId="53" xfId="0" applyFont="1" applyFill="1" applyBorder="1" applyAlignment="1">
      <alignment horizontal="center"/>
    </xf>
    <xf numFmtId="0" fontId="18" fillId="2" borderId="51" xfId="0" applyFont="1" applyFill="1" applyBorder="1" applyAlignment="1">
      <alignment horizontal="center"/>
    </xf>
    <xf numFmtId="0" fontId="0" fillId="0" borderId="0" xfId="0" applyAlignment="1">
      <alignment readingOrder="1"/>
    </xf>
    <xf numFmtId="0" fontId="1" fillId="0" borderId="31" xfId="0" applyFont="1" applyBorder="1" applyAlignment="1">
      <alignment readingOrder="1"/>
    </xf>
    <xf numFmtId="0" fontId="23" fillId="0" borderId="31" xfId="0" applyFont="1" applyBorder="1" applyAlignment="1">
      <alignment readingOrder="1"/>
    </xf>
    <xf numFmtId="0" fontId="23" fillId="0" borderId="32" xfId="0" applyFont="1" applyBorder="1" applyAlignment="1">
      <alignment readingOrder="1"/>
    </xf>
    <xf numFmtId="0" fontId="24" fillId="0" borderId="2" xfId="0" applyFont="1" applyBorder="1" applyAlignment="1">
      <alignment readingOrder="1"/>
    </xf>
    <xf numFmtId="0" fontId="24" fillId="0" borderId="0" xfId="0" applyFont="1" applyAlignment="1">
      <alignment readingOrder="1"/>
    </xf>
    <xf numFmtId="0" fontId="23" fillId="0" borderId="0" xfId="0" applyFont="1" applyAlignment="1">
      <alignment readingOrder="1"/>
    </xf>
    <xf numFmtId="0" fontId="23" fillId="0" borderId="27" xfId="0" applyFont="1" applyBorder="1" applyAlignment="1">
      <alignment readingOrder="1"/>
    </xf>
    <xf numFmtId="14" fontId="18" fillId="0" borderId="3" xfId="0" applyNumberFormat="1" applyFont="1" applyBorder="1" applyAlignment="1">
      <alignment horizontal="center" vertical="center" wrapText="1" readingOrder="1"/>
    </xf>
    <xf numFmtId="17" fontId="18" fillId="0" borderId="3" xfId="0" applyNumberFormat="1" applyFont="1" applyBorder="1" applyAlignment="1">
      <alignment horizontal="center" vertical="center" wrapText="1" readingOrder="1"/>
    </xf>
    <xf numFmtId="17" fontId="18" fillId="0" borderId="3" xfId="0" applyNumberFormat="1" applyFont="1" applyBorder="1" applyAlignment="1">
      <alignment horizontal="center" vertical="center" readingOrder="1"/>
    </xf>
    <xf numFmtId="0" fontId="18" fillId="0" borderId="3" xfId="0" applyFont="1" applyBorder="1" applyAlignment="1">
      <alignment horizontal="center" vertical="center" readingOrder="1"/>
    </xf>
    <xf numFmtId="0" fontId="21" fillId="0" borderId="3" xfId="0" applyFont="1" applyBorder="1" applyAlignment="1">
      <alignment horizontal="center" vertical="center" readingOrder="1"/>
    </xf>
    <xf numFmtId="0" fontId="22" fillId="0" borderId="2" xfId="0" applyFont="1" applyBorder="1" applyAlignment="1">
      <alignment readingOrder="1"/>
    </xf>
    <xf numFmtId="0" fontId="22" fillId="0" borderId="0" xfId="0" applyFont="1" applyAlignment="1">
      <alignment readingOrder="1"/>
    </xf>
    <xf numFmtId="0" fontId="23" fillId="0" borderId="2" xfId="0" applyFont="1" applyBorder="1" applyAlignment="1">
      <alignment readingOrder="1"/>
    </xf>
    <xf numFmtId="0" fontId="18" fillId="2" borderId="72" xfId="0" applyFont="1" applyFill="1" applyBorder="1" applyAlignment="1">
      <alignment horizontal="center" vertical="center" wrapText="1" readingOrder="1"/>
    </xf>
    <xf numFmtId="0" fontId="18" fillId="2" borderId="73" xfId="0" applyFont="1" applyFill="1" applyBorder="1" applyAlignment="1">
      <alignment horizontal="center" vertical="center" wrapText="1" readingOrder="1"/>
    </xf>
    <xf numFmtId="0" fontId="18" fillId="2" borderId="73" xfId="0" applyFont="1" applyFill="1" applyBorder="1" applyAlignment="1">
      <alignment vertical="center" wrapText="1" readingOrder="1"/>
    </xf>
    <xf numFmtId="0" fontId="18" fillId="2" borderId="74" xfId="0" applyFont="1" applyFill="1" applyBorder="1" applyAlignment="1">
      <alignment horizontal="center" vertical="center" wrapText="1" readingOrder="1"/>
    </xf>
    <xf numFmtId="16" fontId="19" fillId="0" borderId="14" xfId="0" applyNumberFormat="1" applyFont="1" applyBorder="1" applyAlignment="1">
      <alignment horizontal="center" vertical="center" readingOrder="1"/>
    </xf>
    <xf numFmtId="0" fontId="19" fillId="0" borderId="1" xfId="0" applyFont="1" applyBorder="1" applyAlignment="1">
      <alignment horizontal="center" vertical="center" readingOrder="1"/>
    </xf>
    <xf numFmtId="0" fontId="12" fillId="0" borderId="68" xfId="0" applyFont="1" applyBorder="1" applyAlignment="1">
      <alignment horizontal="center" vertical="center" wrapText="1" readingOrder="1"/>
    </xf>
    <xf numFmtId="16" fontId="19" fillId="0" borderId="70" xfId="0" applyNumberFormat="1" applyFont="1" applyBorder="1" applyAlignment="1">
      <alignment horizontal="center" vertical="center" readingOrder="1"/>
    </xf>
    <xf numFmtId="0" fontId="19" fillId="0" borderId="71" xfId="0" applyFont="1" applyBorder="1" applyAlignment="1">
      <alignment horizontal="center" vertical="center" readingOrder="1"/>
    </xf>
    <xf numFmtId="0" fontId="19" fillId="0" borderId="4" xfId="0" applyFont="1" applyBorder="1" applyAlignment="1">
      <alignment horizontal="center" vertical="center" readingOrder="1"/>
    </xf>
    <xf numFmtId="0" fontId="18" fillId="2" borderId="41" xfId="0" applyFont="1" applyFill="1" applyBorder="1" applyAlignment="1">
      <alignment horizontal="center" readingOrder="1"/>
    </xf>
    <xf numFmtId="0" fontId="18" fillId="2" borderId="69" xfId="0" applyFont="1" applyFill="1" applyBorder="1" applyAlignment="1">
      <alignment horizontal="center" readingOrder="1"/>
    </xf>
    <xf numFmtId="0" fontId="12" fillId="0" borderId="47" xfId="0" applyFont="1" applyBorder="1" applyAlignment="1">
      <alignment horizontal="center" vertical="center" readingOrder="1"/>
    </xf>
    <xf numFmtId="0" fontId="18" fillId="0" borderId="37" xfId="0" applyFont="1" applyBorder="1" applyAlignment="1">
      <alignment horizontal="center" vertical="center" readingOrder="1"/>
    </xf>
    <xf numFmtId="0" fontId="12" fillId="0" borderId="0" xfId="0" applyFont="1" applyAlignment="1">
      <alignment readingOrder="1"/>
    </xf>
    <xf numFmtId="0" fontId="12" fillId="0" borderId="0" xfId="0" applyFont="1" applyAlignment="1">
      <alignment horizontal="center" readingOrder="1"/>
    </xf>
    <xf numFmtId="0" fontId="22" fillId="0" borderId="27" xfId="0" applyFont="1" applyBorder="1" applyAlignment="1">
      <alignment readingOrder="1"/>
    </xf>
    <xf numFmtId="0" fontId="12" fillId="0" borderId="48" xfId="0" applyFont="1" applyBorder="1" applyAlignment="1">
      <alignment horizontal="center" vertical="center" readingOrder="1"/>
    </xf>
    <xf numFmtId="2" fontId="12" fillId="0" borderId="38" xfId="0" applyNumberFormat="1" applyFont="1" applyBorder="1" applyAlignment="1">
      <alignment horizontal="center" vertical="center" readingOrder="1"/>
    </xf>
    <xf numFmtId="2" fontId="12" fillId="0" borderId="0" xfId="0" applyNumberFormat="1" applyFont="1" applyAlignment="1">
      <alignment readingOrder="1"/>
    </xf>
    <xf numFmtId="2" fontId="12" fillId="0" borderId="0" xfId="0" applyNumberFormat="1" applyFont="1" applyAlignment="1">
      <alignment horizontal="center" readingOrder="1"/>
    </xf>
    <xf numFmtId="0" fontId="12" fillId="0" borderId="49" xfId="0" applyFont="1" applyBorder="1" applyAlignment="1">
      <alignment horizontal="center" vertical="center" readingOrder="1"/>
    </xf>
    <xf numFmtId="2" fontId="12" fillId="0" borderId="43" xfId="0" applyNumberFormat="1" applyFont="1" applyBorder="1" applyAlignment="1">
      <alignment horizontal="center" vertical="center" readingOrder="1"/>
    </xf>
    <xf numFmtId="0" fontId="12" fillId="2" borderId="50" xfId="0" applyFont="1" applyFill="1" applyBorder="1" applyAlignment="1">
      <alignment horizontal="center" vertical="center" readingOrder="1"/>
    </xf>
    <xf numFmtId="2" fontId="18" fillId="2" borderId="36" xfId="0" applyNumberFormat="1" applyFont="1" applyFill="1" applyBorder="1" applyAlignment="1">
      <alignment horizontal="center" vertical="center" readingOrder="1"/>
    </xf>
    <xf numFmtId="0" fontId="25" fillId="0" borderId="2" xfId="0" applyFont="1" applyBorder="1" applyAlignment="1">
      <alignment readingOrder="1"/>
    </xf>
    <xf numFmtId="0" fontId="25" fillId="0" borderId="0" xfId="0" applyFont="1" applyAlignment="1">
      <alignment readingOrder="1"/>
    </xf>
    <xf numFmtId="0" fontId="25" fillId="0" borderId="27" xfId="0" applyFont="1" applyBorder="1" applyAlignment="1">
      <alignment readingOrder="1"/>
    </xf>
    <xf numFmtId="0" fontId="30" fillId="0" borderId="7" xfId="0" applyFont="1" applyBorder="1" applyAlignment="1">
      <alignment horizontal="center" readingOrder="1"/>
    </xf>
    <xf numFmtId="0" fontId="31" fillId="0" borderId="7" xfId="0" applyFont="1" applyBorder="1" applyAlignment="1">
      <alignment readingOrder="1"/>
    </xf>
    <xf numFmtId="0" fontId="31" fillId="0" borderId="25" xfId="0" applyFont="1" applyBorder="1" applyAlignment="1">
      <alignment readingOrder="1"/>
    </xf>
    <xf numFmtId="0" fontId="29" fillId="0" borderId="0" xfId="0" applyFont="1" applyAlignment="1">
      <alignment horizontal="center" readingOrder="1"/>
    </xf>
    <xf numFmtId="0" fontId="22" fillId="0" borderId="27" xfId="0" applyFont="1" applyBorder="1" applyAlignment="1">
      <alignment horizontal="center" readingOrder="1"/>
    </xf>
    <xf numFmtId="0" fontId="29" fillId="0" borderId="33" xfId="0" applyFont="1" applyBorder="1" applyAlignment="1">
      <alignment readingOrder="1"/>
    </xf>
    <xf numFmtId="0" fontId="22" fillId="0" borderId="34" xfId="0" applyFont="1" applyBorder="1" applyAlignment="1">
      <alignment horizontal="center" readingOrder="1"/>
    </xf>
    <xf numFmtId="0" fontId="12" fillId="0" borderId="68" xfId="0" applyFont="1" applyBorder="1" applyAlignment="1">
      <alignment horizontal="center" vertical="center" wrapText="1" readingOrder="2"/>
    </xf>
    <xf numFmtId="0" fontId="12" fillId="0" borderId="61" xfId="0" applyFont="1" applyBorder="1" applyAlignment="1">
      <alignment horizontal="center" vertical="center" wrapText="1" readingOrder="2"/>
    </xf>
    <xf numFmtId="0" fontId="12" fillId="0" borderId="61" xfId="0" applyFont="1" applyBorder="1" applyAlignment="1">
      <alignment horizontal="center" vertical="center" wrapText="1" readingOrder="1"/>
    </xf>
    <xf numFmtId="16" fontId="19" fillId="0" borderId="16" xfId="0" applyNumberFormat="1" applyFont="1" applyBorder="1" applyAlignment="1">
      <alignment horizontal="center" vertical="center" readingOrder="1"/>
    </xf>
    <xf numFmtId="0" fontId="18" fillId="2" borderId="52" xfId="0" applyFont="1" applyFill="1" applyBorder="1" applyAlignment="1">
      <alignment horizontal="center" vertical="center" wrapText="1" readingOrder="1"/>
    </xf>
    <xf numFmtId="0" fontId="18" fillId="2" borderId="53" xfId="0" applyFont="1" applyFill="1" applyBorder="1" applyAlignment="1">
      <alignment horizontal="center" vertical="center" wrapText="1" readingOrder="1"/>
    </xf>
    <xf numFmtId="0" fontId="18" fillId="2" borderId="53" xfId="0" applyFont="1" applyFill="1" applyBorder="1" applyAlignment="1">
      <alignment vertical="center" wrapText="1" readingOrder="1"/>
    </xf>
    <xf numFmtId="0" fontId="18" fillId="2" borderId="51" xfId="0" applyFont="1" applyFill="1" applyBorder="1" applyAlignment="1">
      <alignment horizontal="center" vertical="center" wrapText="1" readingOrder="1"/>
    </xf>
    <xf numFmtId="0" fontId="19" fillId="0" borderId="19" xfId="0" applyFont="1" applyBorder="1" applyAlignment="1">
      <alignment horizontal="center" vertical="center" readingOrder="1"/>
    </xf>
    <xf numFmtId="16" fontId="19" fillId="0" borderId="70" xfId="0" applyNumberFormat="1" applyFont="1" applyBorder="1" applyAlignment="1">
      <alignment horizontal="center" vertical="center" readingOrder="1"/>
    </xf>
    <xf numFmtId="16" fontId="19" fillId="0" borderId="16" xfId="0" applyNumberFormat="1" applyFont="1" applyBorder="1" applyAlignment="1">
      <alignment horizontal="center" vertical="center" readingOrder="1"/>
    </xf>
    <xf numFmtId="0" fontId="19" fillId="0" borderId="71" xfId="0" applyFont="1" applyBorder="1" applyAlignment="1">
      <alignment horizontal="center" vertical="center" readingOrder="1"/>
    </xf>
    <xf numFmtId="0" fontId="19" fillId="0" borderId="4" xfId="0" applyFont="1" applyBorder="1" applyAlignment="1">
      <alignment horizontal="center" vertical="center" readingOrder="1"/>
    </xf>
    <xf numFmtId="16" fontId="19" fillId="0" borderId="15" xfId="0" applyNumberFormat="1" applyFont="1" applyBorder="1" applyAlignment="1">
      <alignment horizontal="center" vertical="center" readingOrder="1"/>
    </xf>
    <xf numFmtId="0" fontId="19" fillId="0" borderId="6" xfId="0" applyFont="1" applyBorder="1" applyAlignment="1">
      <alignment horizontal="center" vertical="center" readingOrder="1"/>
    </xf>
    <xf numFmtId="0" fontId="1" fillId="2" borderId="5" xfId="0" applyFont="1" applyFill="1" applyBorder="1" applyAlignment="1">
      <alignment horizontal="center" readingOrder="1"/>
    </xf>
    <xf numFmtId="0" fontId="1" fillId="2" borderId="7" xfId="0" applyFont="1" applyFill="1" applyBorder="1" applyAlignment="1">
      <alignment horizontal="center" readingOrder="1"/>
    </xf>
    <xf numFmtId="0" fontId="1" fillId="2" borderId="25" xfId="0" applyFont="1" applyFill="1" applyBorder="1" applyAlignment="1">
      <alignment horizontal="center" readingOrder="1"/>
    </xf>
    <xf numFmtId="0" fontId="3" fillId="0" borderId="5" xfId="0" applyFont="1" applyBorder="1" applyAlignment="1">
      <alignment horizontal="center" vertical="center" readingOrder="1"/>
    </xf>
    <xf numFmtId="0" fontId="3" fillId="0" borderId="7" xfId="0" applyFont="1" applyBorder="1" applyAlignment="1">
      <alignment horizontal="center" vertical="center" readingOrder="1"/>
    </xf>
    <xf numFmtId="0" fontId="3" fillId="0" borderId="25" xfId="0" applyFont="1" applyBorder="1" applyAlignment="1">
      <alignment horizontal="center" vertical="center" readingOrder="1"/>
    </xf>
    <xf numFmtId="17" fontId="18" fillId="0" borderId="5" xfId="0" applyNumberFormat="1" applyFont="1" applyBorder="1" applyAlignment="1">
      <alignment horizontal="center" vertical="center" readingOrder="1"/>
    </xf>
    <xf numFmtId="17" fontId="18" fillId="0" borderId="25" xfId="0" applyNumberFormat="1" applyFont="1" applyBorder="1" applyAlignment="1">
      <alignment horizontal="center" vertical="center" readingOrder="1"/>
    </xf>
    <xf numFmtId="17" fontId="18" fillId="0" borderId="30" xfId="0" applyNumberFormat="1" applyFont="1" applyBorder="1" applyAlignment="1">
      <alignment horizontal="center" vertical="center" readingOrder="1"/>
    </xf>
    <xf numFmtId="17" fontId="18" fillId="0" borderId="32" xfId="0" applyNumberFormat="1" applyFont="1" applyBorder="1" applyAlignment="1">
      <alignment horizontal="center" vertical="center" readingOrder="1"/>
    </xf>
    <xf numFmtId="17" fontId="18" fillId="0" borderId="35" xfId="0" applyNumberFormat="1" applyFont="1" applyBorder="1" applyAlignment="1">
      <alignment horizontal="center" vertical="center" readingOrder="1"/>
    </xf>
    <xf numFmtId="17" fontId="18" fillId="0" borderId="34" xfId="0" applyNumberFormat="1" applyFont="1" applyBorder="1" applyAlignment="1">
      <alignment horizontal="center" vertical="center" readingOrder="1"/>
    </xf>
    <xf numFmtId="16" fontId="19" fillId="0" borderId="12" xfId="0" applyNumberFormat="1" applyFont="1" applyBorder="1" applyAlignment="1">
      <alignment horizontal="center" vertical="center" readingOrder="1"/>
    </xf>
    <xf numFmtId="0" fontId="19" fillId="0" borderId="13" xfId="0" applyFont="1" applyBorder="1" applyAlignment="1">
      <alignment horizontal="center" vertical="center" readingOrder="1"/>
    </xf>
    <xf numFmtId="16" fontId="19" fillId="0" borderId="14" xfId="0" applyNumberFormat="1" applyFont="1" applyBorder="1" applyAlignment="1">
      <alignment horizontal="center" vertical="center" readingOrder="1"/>
    </xf>
    <xf numFmtId="0" fontId="19" fillId="0" borderId="1" xfId="0" applyFont="1" applyBorder="1" applyAlignment="1">
      <alignment horizontal="center" vertical="center" readingOrder="1"/>
    </xf>
    <xf numFmtId="0" fontId="30" fillId="0" borderId="5" xfId="0" applyFont="1" applyBorder="1" applyAlignment="1">
      <alignment horizontal="center" readingOrder="1"/>
    </xf>
    <xf numFmtId="0" fontId="30" fillId="0" borderId="7" xfId="0" applyFont="1" applyBorder="1" applyAlignment="1">
      <alignment horizontal="center" readingOrder="1"/>
    </xf>
    <xf numFmtId="14" fontId="32" fillId="3" borderId="33" xfId="0" applyNumberFormat="1" applyFont="1" applyFill="1" applyBorder="1" applyAlignment="1">
      <alignment horizontal="center" readingOrder="1"/>
    </xf>
    <xf numFmtId="14" fontId="32" fillId="3" borderId="34" xfId="0" applyNumberFormat="1" applyFont="1" applyFill="1" applyBorder="1" applyAlignment="1">
      <alignment horizontal="center" readingOrder="1"/>
    </xf>
    <xf numFmtId="16" fontId="3" fillId="2" borderId="40" xfId="0" applyNumberFormat="1" applyFont="1" applyFill="1" applyBorder="1" applyAlignment="1">
      <alignment horizontal="center" readingOrder="1"/>
    </xf>
    <xf numFmtId="16" fontId="3" fillId="2" borderId="41" xfId="0" applyNumberFormat="1" applyFont="1" applyFill="1" applyBorder="1" applyAlignment="1">
      <alignment horizontal="center" readingOrder="1"/>
    </xf>
    <xf numFmtId="0" fontId="12" fillId="0" borderId="66" xfId="0" applyFont="1" applyBorder="1" applyAlignment="1">
      <alignment horizontal="center" vertical="center" readingOrder="1"/>
    </xf>
    <xf numFmtId="0" fontId="12" fillId="0" borderId="47" xfId="0" applyFont="1" applyBorder="1" applyAlignment="1">
      <alignment horizontal="center" vertical="center" readingOrder="1"/>
    </xf>
    <xf numFmtId="0" fontId="12" fillId="0" borderId="65" xfId="0" applyFont="1" applyBorder="1" applyAlignment="1">
      <alignment horizontal="center" vertical="center" readingOrder="1"/>
    </xf>
    <xf numFmtId="0" fontId="12" fillId="0" borderId="48" xfId="0" applyFont="1" applyBorder="1" applyAlignment="1">
      <alignment horizontal="center" vertical="center" readingOrder="1"/>
    </xf>
    <xf numFmtId="0" fontId="12" fillId="0" borderId="63" xfId="0" applyFont="1" applyBorder="1" applyAlignment="1">
      <alignment horizontal="center" vertical="center" readingOrder="1"/>
    </xf>
    <xf numFmtId="0" fontId="12" fillId="0" borderId="64" xfId="0" applyFont="1" applyBorder="1" applyAlignment="1">
      <alignment horizontal="center" vertical="center" readingOrder="1"/>
    </xf>
    <xf numFmtId="0" fontId="12" fillId="2" borderId="62" xfId="0" applyFont="1" applyFill="1" applyBorder="1" applyAlignment="1">
      <alignment horizontal="center" vertical="center" readingOrder="1"/>
    </xf>
    <xf numFmtId="0" fontId="12" fillId="2" borderId="50" xfId="0" applyFont="1" applyFill="1" applyBorder="1" applyAlignment="1">
      <alignment horizontal="center" vertical="center" readingOrder="1"/>
    </xf>
    <xf numFmtId="0" fontId="29" fillId="0" borderId="30" xfId="0" applyFont="1" applyBorder="1" applyAlignment="1">
      <alignment horizontal="center" readingOrder="1"/>
    </xf>
    <xf numFmtId="0" fontId="29" fillId="0" borderId="31" xfId="0" applyFont="1" applyBorder="1" applyAlignment="1">
      <alignment horizontal="center" readingOrder="1"/>
    </xf>
    <xf numFmtId="0" fontId="29" fillId="0" borderId="32" xfId="0" applyFont="1" applyBorder="1" applyAlignment="1">
      <alignment horizontal="center" readingOrder="1"/>
    </xf>
    <xf numFmtId="0" fontId="12" fillId="0" borderId="2" xfId="0" applyFont="1" applyBorder="1" applyAlignment="1">
      <alignment horizontal="center" readingOrder="1"/>
    </xf>
    <xf numFmtId="0" fontId="12" fillId="0" borderId="0" xfId="0" applyFont="1" applyAlignment="1">
      <alignment horizontal="center" readingOrder="1"/>
    </xf>
    <xf numFmtId="0" fontId="29" fillId="0" borderId="7" xfId="0" applyFont="1" applyBorder="1" applyAlignment="1">
      <alignment horizontal="center" readingOrder="1"/>
    </xf>
    <xf numFmtId="0" fontId="29" fillId="0" borderId="35" xfId="0" applyFont="1" applyBorder="1" applyAlignment="1">
      <alignment horizontal="right" readingOrder="1"/>
    </xf>
    <xf numFmtId="0" fontId="29" fillId="0" borderId="33" xfId="0" applyFont="1" applyBorder="1" applyAlignment="1">
      <alignment horizontal="right" readingOrder="1"/>
    </xf>
    <xf numFmtId="0" fontId="29" fillId="0" borderId="34" xfId="0" applyFont="1" applyBorder="1" applyAlignment="1">
      <alignment horizontal="right" readingOrder="1"/>
    </xf>
    <xf numFmtId="0" fontId="32" fillId="3" borderId="33" xfId="0" applyFont="1" applyFill="1" applyBorder="1" applyAlignment="1">
      <alignment horizontal="center" readingOrder="1"/>
    </xf>
    <xf numFmtId="0" fontId="29" fillId="0" borderId="2" xfId="0" applyFont="1" applyBorder="1" applyAlignment="1">
      <alignment horizontal="center" readingOrder="1"/>
    </xf>
    <xf numFmtId="0" fontId="29" fillId="0" borderId="0" xfId="0" applyFont="1" applyAlignment="1">
      <alignment horizontal="center" readingOrder="1"/>
    </xf>
    <xf numFmtId="0" fontId="29" fillId="0" borderId="27" xfId="0" applyFont="1" applyBorder="1" applyAlignment="1">
      <alignment horizontal="center" readingOrder="1"/>
    </xf>
    <xf numFmtId="0" fontId="29" fillId="0" borderId="33" xfId="0" applyFont="1" applyBorder="1" applyAlignment="1">
      <alignment horizontal="center" readingOrder="1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4" fillId="0" borderId="35" xfId="0" applyFont="1" applyBorder="1" applyAlignment="1">
      <alignment horizontal="right"/>
    </xf>
    <xf numFmtId="0" fontId="14" fillId="0" borderId="33" xfId="0" applyFont="1" applyBorder="1" applyAlignment="1">
      <alignment horizontal="right"/>
    </xf>
    <xf numFmtId="0" fontId="14" fillId="0" borderId="34" xfId="0" applyFont="1" applyBorder="1" applyAlignment="1">
      <alignment horizontal="right"/>
    </xf>
    <xf numFmtId="0" fontId="14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14" fontId="16" fillId="3" borderId="33" xfId="0" applyNumberFormat="1" applyFont="1" applyFill="1" applyBorder="1" applyAlignment="1">
      <alignment horizontal="center"/>
    </xf>
    <xf numFmtId="0" fontId="16" fillId="3" borderId="34" xfId="0" applyFont="1" applyFill="1" applyBorder="1" applyAlignment="1">
      <alignment horizontal="center"/>
    </xf>
    <xf numFmtId="0" fontId="16" fillId="3" borderId="33" xfId="0" applyFont="1" applyFill="1" applyBorder="1" applyAlignment="1">
      <alignment horizontal="center"/>
    </xf>
    <xf numFmtId="0" fontId="17" fillId="3" borderId="33" xfId="0" applyFont="1" applyFill="1" applyBorder="1" applyAlignment="1">
      <alignment horizontal="center"/>
    </xf>
    <xf numFmtId="0" fontId="18" fillId="2" borderId="59" xfId="0" applyFont="1" applyFill="1" applyBorder="1" applyAlignment="1">
      <alignment horizontal="center" vertical="center"/>
    </xf>
    <xf numFmtId="0" fontId="18" fillId="2" borderId="4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 readingOrder="2"/>
    </xf>
    <xf numFmtId="0" fontId="3" fillId="0" borderId="7" xfId="0" applyFont="1" applyBorder="1" applyAlignment="1">
      <alignment horizontal="center" vertical="center" readingOrder="2"/>
    </xf>
    <xf numFmtId="0" fontId="3" fillId="0" borderId="25" xfId="0" applyFont="1" applyBorder="1" applyAlignment="1">
      <alignment horizontal="center" vertical="center" readingOrder="2"/>
    </xf>
    <xf numFmtId="17" fontId="18" fillId="0" borderId="5" xfId="0" applyNumberFormat="1" applyFont="1" applyBorder="1" applyAlignment="1">
      <alignment horizontal="center" vertical="center"/>
    </xf>
    <xf numFmtId="17" fontId="18" fillId="0" borderId="25" xfId="0" applyNumberFormat="1" applyFont="1" applyBorder="1" applyAlignment="1">
      <alignment horizontal="center" vertical="center"/>
    </xf>
    <xf numFmtId="17" fontId="18" fillId="0" borderId="30" xfId="0" applyNumberFormat="1" applyFont="1" applyBorder="1" applyAlignment="1">
      <alignment horizontal="center" vertical="center"/>
    </xf>
    <xf numFmtId="17" fontId="18" fillId="0" borderId="32" xfId="0" applyNumberFormat="1" applyFont="1" applyBorder="1" applyAlignment="1">
      <alignment horizontal="center" vertical="center"/>
    </xf>
    <xf numFmtId="17" fontId="18" fillId="0" borderId="35" xfId="0" applyNumberFormat="1" applyFont="1" applyBorder="1" applyAlignment="1">
      <alignment horizontal="center" vertical="center"/>
    </xf>
    <xf numFmtId="17" fontId="18" fillId="0" borderId="34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16" fontId="3" fillId="2" borderId="5" xfId="0" applyNumberFormat="1" applyFont="1" applyFill="1" applyBorder="1" applyAlignment="1">
      <alignment horizontal="center"/>
    </xf>
    <xf numFmtId="16" fontId="3" fillId="2" borderId="7" xfId="0" applyNumberFormat="1" applyFont="1" applyFill="1" applyBorder="1" applyAlignment="1">
      <alignment horizontal="center"/>
    </xf>
    <xf numFmtId="0" fontId="18" fillId="0" borderId="54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2" borderId="57" xfId="0" applyFont="1" applyFill="1" applyBorder="1" applyAlignment="1">
      <alignment horizontal="center" vertical="center"/>
    </xf>
    <xf numFmtId="0" fontId="18" fillId="2" borderId="45" xfId="0" applyFont="1" applyFill="1" applyBorder="1" applyAlignment="1">
      <alignment horizontal="center" vertical="center"/>
    </xf>
    <xf numFmtId="16" fontId="3" fillId="2" borderId="35" xfId="0" applyNumberFormat="1" applyFont="1" applyFill="1" applyBorder="1" applyAlignment="1">
      <alignment horizontal="center"/>
    </xf>
    <xf numFmtId="16" fontId="3" fillId="2" borderId="33" xfId="0" applyNumberFormat="1" applyFont="1" applyFill="1" applyBorder="1" applyAlignment="1">
      <alignment horizontal="center"/>
    </xf>
    <xf numFmtId="0" fontId="18" fillId="0" borderId="56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17" fontId="9" fillId="0" borderId="5" xfId="0" applyNumberFormat="1" applyFont="1" applyBorder="1" applyAlignment="1">
      <alignment horizontal="center" vertical="center"/>
    </xf>
    <xf numFmtId="17" fontId="9" fillId="0" borderId="25" xfId="0" applyNumberFormat="1" applyFont="1" applyBorder="1" applyAlignment="1">
      <alignment horizontal="center" vertical="center"/>
    </xf>
    <xf numFmtId="17" fontId="9" fillId="0" borderId="30" xfId="0" applyNumberFormat="1" applyFont="1" applyBorder="1" applyAlignment="1">
      <alignment horizontal="center" vertical="center"/>
    </xf>
    <xf numFmtId="17" fontId="9" fillId="0" borderId="32" xfId="0" applyNumberFormat="1" applyFont="1" applyBorder="1" applyAlignment="1">
      <alignment horizontal="center" vertical="center"/>
    </xf>
    <xf numFmtId="17" fontId="9" fillId="0" borderId="35" xfId="0" applyNumberFormat="1" applyFont="1" applyBorder="1" applyAlignment="1">
      <alignment horizontal="center" vertical="center"/>
    </xf>
    <xf numFmtId="17" fontId="9" fillId="0" borderId="34" xfId="0" applyNumberFormat="1" applyFont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2" fillId="0" borderId="64" xfId="0" applyFont="1" applyBorder="1" applyAlignment="1">
      <alignment horizontal="center" vertical="center"/>
    </xf>
    <xf numFmtId="0" fontId="12" fillId="2" borderId="62" xfId="0" applyFont="1" applyFill="1" applyBorder="1" applyAlignment="1">
      <alignment horizontal="center" vertical="center"/>
    </xf>
    <xf numFmtId="0" fontId="12" fillId="2" borderId="50" xfId="0" applyFont="1" applyFill="1" applyBorder="1" applyAlignment="1">
      <alignment horizontal="center" vertical="center"/>
    </xf>
    <xf numFmtId="0" fontId="9" fillId="0" borderId="67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16" fontId="6" fillId="0" borderId="12" xfId="0" applyNumberFormat="1" applyFont="1" applyBorder="1" applyAlignment="1">
      <alignment horizontal="center" vertical="center"/>
    </xf>
    <xf numFmtId="16" fontId="6" fillId="0" borderId="17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14" fontId="16" fillId="3" borderId="34" xfId="0" applyNumberFormat="1" applyFont="1" applyFill="1" applyBorder="1" applyAlignment="1">
      <alignment horizontal="center"/>
    </xf>
    <xf numFmtId="16" fontId="10" fillId="2" borderId="5" xfId="0" applyNumberFormat="1" applyFont="1" applyFill="1" applyBorder="1" applyAlignment="1">
      <alignment horizontal="center"/>
    </xf>
    <xf numFmtId="16" fontId="10" fillId="2" borderId="25" xfId="0" applyNumberFormat="1" applyFont="1" applyFill="1" applyBorder="1" applyAlignment="1">
      <alignment horizontal="center"/>
    </xf>
    <xf numFmtId="16" fontId="6" fillId="0" borderId="15" xfId="0" applyNumberFormat="1" applyFont="1" applyBorder="1" applyAlignment="1">
      <alignment horizontal="center" vertical="center"/>
    </xf>
    <xf numFmtId="16" fontId="6" fillId="0" borderId="1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16" fontId="10" fillId="2" borderId="35" xfId="0" applyNumberFormat="1" applyFont="1" applyFill="1" applyBorder="1" applyAlignment="1">
      <alignment horizontal="center"/>
    </xf>
    <xf numFmtId="16" fontId="10" fillId="2" borderId="34" xfId="0" applyNumberFormat="1" applyFont="1" applyFill="1" applyBorder="1" applyAlignment="1">
      <alignment horizontal="center"/>
    </xf>
    <xf numFmtId="16" fontId="11" fillId="0" borderId="12" xfId="0" applyNumberFormat="1" applyFont="1" applyBorder="1" applyAlignment="1">
      <alignment horizontal="center" vertical="center"/>
    </xf>
    <xf numFmtId="16" fontId="11" fillId="0" borderId="17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16" fontId="10" fillId="2" borderId="33" xfId="0" applyNumberFormat="1" applyFont="1" applyFill="1" applyBorder="1" applyAlignment="1">
      <alignment horizontal="center"/>
    </xf>
    <xf numFmtId="16" fontId="6" fillId="0" borderId="70" xfId="0" applyNumberFormat="1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17" fillId="0" borderId="67" xfId="0" applyFont="1" applyBorder="1" applyAlignment="1">
      <alignment horizontal="center" vertical="center" wrapText="1"/>
    </xf>
    <xf numFmtId="0" fontId="17" fillId="0" borderId="61" xfId="0" applyFont="1" applyBorder="1" applyAlignment="1">
      <alignment horizontal="center" vertical="center" wrapText="1"/>
    </xf>
    <xf numFmtId="0" fontId="19" fillId="0" borderId="7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6" fontId="19" fillId="0" borderId="70" xfId="0" applyNumberFormat="1" applyFont="1" applyBorder="1" applyAlignment="1">
      <alignment horizontal="center" vertical="center"/>
    </xf>
    <xf numFmtId="16" fontId="19" fillId="0" borderId="15" xfId="0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6" fontId="19" fillId="0" borderId="16" xfId="0" applyNumberFormat="1" applyFont="1" applyBorder="1" applyAlignment="1">
      <alignment horizontal="center" vertical="center"/>
    </xf>
    <xf numFmtId="0" fontId="29" fillId="0" borderId="35" xfId="0" applyFont="1" applyBorder="1" applyAlignment="1">
      <alignment horizontal="right"/>
    </xf>
    <xf numFmtId="0" fontId="29" fillId="0" borderId="33" xfId="0" applyFont="1" applyBorder="1" applyAlignment="1">
      <alignment horizontal="right"/>
    </xf>
    <xf numFmtId="0" fontId="29" fillId="0" borderId="34" xfId="0" applyFont="1" applyBorder="1" applyAlignment="1">
      <alignment horizontal="right"/>
    </xf>
    <xf numFmtId="0" fontId="30" fillId="0" borderId="5" xfId="0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14" fontId="32" fillId="3" borderId="33" xfId="0" applyNumberFormat="1" applyFont="1" applyFill="1" applyBorder="1" applyAlignment="1">
      <alignment horizontal="center"/>
    </xf>
    <xf numFmtId="14" fontId="32" fillId="3" borderId="34" xfId="0" applyNumberFormat="1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32" fillId="3" borderId="33" xfId="0" applyFont="1" applyFill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27" xfId="0" applyFont="1" applyBorder="1" applyAlignment="1">
      <alignment horizontal="center"/>
    </xf>
    <xf numFmtId="0" fontId="29" fillId="0" borderId="33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29" fillId="0" borderId="31" xfId="0" applyFont="1" applyBorder="1" applyAlignment="1">
      <alignment horizontal="center"/>
    </xf>
    <xf numFmtId="0" fontId="29" fillId="0" borderId="32" xfId="0" applyFont="1" applyBorder="1" applyAlignment="1">
      <alignment horizontal="center"/>
    </xf>
    <xf numFmtId="0" fontId="12" fillId="0" borderId="67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16" fontId="19" fillId="0" borderId="14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" fontId="3" fillId="2" borderId="40" xfId="0" applyNumberFormat="1" applyFont="1" applyFill="1" applyBorder="1" applyAlignment="1">
      <alignment horizontal="center"/>
    </xf>
    <xf numFmtId="16" fontId="3" fillId="2" borderId="41" xfId="0" applyNumberFormat="1" applyFont="1" applyFill="1" applyBorder="1" applyAlignment="1">
      <alignment horizontal="center"/>
    </xf>
    <xf numFmtId="0" fontId="19" fillId="0" borderId="75" xfId="0" applyFont="1" applyBorder="1" applyAlignment="1">
      <alignment horizontal="center" vertical="center" readingOrder="1"/>
    </xf>
    <xf numFmtId="0" fontId="19" fillId="0" borderId="77" xfId="0" applyFont="1" applyBorder="1" applyAlignment="1">
      <alignment horizontal="center" vertical="center" readingOrder="1"/>
    </xf>
    <xf numFmtId="0" fontId="19" fillId="0" borderId="76" xfId="0" applyFont="1" applyBorder="1" applyAlignment="1">
      <alignment horizontal="center" vertical="center" readingOrder="1"/>
    </xf>
    <xf numFmtId="16" fontId="19" fillId="0" borderId="18" xfId="0" applyNumberFormat="1" applyFont="1" applyBorder="1" applyAlignment="1">
      <alignment horizontal="center" vertical="center" readingOrder="1"/>
    </xf>
    <xf numFmtId="0" fontId="19" fillId="0" borderId="19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450850</xdr:colOff>
      <xdr:row>39</xdr:row>
      <xdr:rowOff>36288</xdr:rowOff>
    </xdr:from>
    <xdr:to>
      <xdr:col>2</xdr:col>
      <xdr:colOff>958850</xdr:colOff>
      <xdr:row>41</xdr:row>
      <xdr:rowOff>102406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43549082-1F63-F069-852E-7BDE8DF73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2571700" y="16857438"/>
          <a:ext cx="2076450" cy="7011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36</xdr:row>
      <xdr:rowOff>311150</xdr:rowOff>
    </xdr:from>
    <xdr:to>
      <xdr:col>2</xdr:col>
      <xdr:colOff>755650</xdr:colOff>
      <xdr:row>39</xdr:row>
      <xdr:rowOff>228600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B2AE341A-D959-2844-C78A-6CEEB514E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2774900" y="14363700"/>
          <a:ext cx="1981200" cy="869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335970</xdr:colOff>
      <xdr:row>53</xdr:row>
      <xdr:rowOff>38100</xdr:rowOff>
    </xdr:from>
    <xdr:to>
      <xdr:col>2</xdr:col>
      <xdr:colOff>876301</xdr:colOff>
      <xdr:row>55</xdr:row>
      <xdr:rowOff>260350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4BD06B5-8617-458A-8374-7CF7C1826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2654249" y="12668250"/>
          <a:ext cx="2108781" cy="857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335970</xdr:colOff>
      <xdr:row>47</xdr:row>
      <xdr:rowOff>38100</xdr:rowOff>
    </xdr:from>
    <xdr:to>
      <xdr:col>2</xdr:col>
      <xdr:colOff>876301</xdr:colOff>
      <xdr:row>49</xdr:row>
      <xdr:rowOff>260350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4BD06B5-8617-458A-8374-7CF7C1826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8690374" y="21917025"/>
          <a:ext cx="2111956" cy="850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335970</xdr:colOff>
      <xdr:row>42</xdr:row>
      <xdr:rowOff>38100</xdr:rowOff>
    </xdr:from>
    <xdr:to>
      <xdr:col>2</xdr:col>
      <xdr:colOff>876301</xdr:colOff>
      <xdr:row>44</xdr:row>
      <xdr:rowOff>260350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DEBAA72-0F56-4BFD-B685-6F8067543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2654249" y="17976850"/>
          <a:ext cx="2108781" cy="857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335970</xdr:colOff>
      <xdr:row>31</xdr:row>
      <xdr:rowOff>38100</xdr:rowOff>
    </xdr:from>
    <xdr:to>
      <xdr:col>2</xdr:col>
      <xdr:colOff>876301</xdr:colOff>
      <xdr:row>33</xdr:row>
      <xdr:rowOff>260350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4D5B54B-AA81-47BF-85B1-4EDBE8268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2654249" y="16592550"/>
          <a:ext cx="2108781" cy="8572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335970</xdr:colOff>
      <xdr:row>52</xdr:row>
      <xdr:rowOff>38100</xdr:rowOff>
    </xdr:from>
    <xdr:to>
      <xdr:col>2</xdr:col>
      <xdr:colOff>876301</xdr:colOff>
      <xdr:row>54</xdr:row>
      <xdr:rowOff>260350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D169AAF-4E22-44F9-986A-6F9040274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2654249" y="11601450"/>
          <a:ext cx="2108781" cy="8572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335970</xdr:colOff>
      <xdr:row>44</xdr:row>
      <xdr:rowOff>38100</xdr:rowOff>
    </xdr:from>
    <xdr:to>
      <xdr:col>2</xdr:col>
      <xdr:colOff>876301</xdr:colOff>
      <xdr:row>46</xdr:row>
      <xdr:rowOff>260350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D169AAF-4E22-44F9-986A-6F9040274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0509649" y="21269325"/>
          <a:ext cx="2111956" cy="8509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335970</xdr:colOff>
      <xdr:row>54</xdr:row>
      <xdr:rowOff>38100</xdr:rowOff>
    </xdr:from>
    <xdr:to>
      <xdr:col>2</xdr:col>
      <xdr:colOff>876301</xdr:colOff>
      <xdr:row>56</xdr:row>
      <xdr:rowOff>260350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60CDC35-F179-4D99-8552-643F43F19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4476699" y="18256250"/>
          <a:ext cx="2108781" cy="8572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242246</xdr:colOff>
      <xdr:row>40</xdr:row>
      <xdr:rowOff>38100</xdr:rowOff>
    </xdr:from>
    <xdr:to>
      <xdr:col>2</xdr:col>
      <xdr:colOff>876301</xdr:colOff>
      <xdr:row>42</xdr:row>
      <xdr:rowOff>628650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60CDC35-F179-4D99-8552-643F43F19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0470049" y="15906750"/>
          <a:ext cx="2202505" cy="12255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361370</xdr:colOff>
      <xdr:row>34</xdr:row>
      <xdr:rowOff>25400</xdr:rowOff>
    </xdr:from>
    <xdr:to>
      <xdr:col>2</xdr:col>
      <xdr:colOff>901701</xdr:colOff>
      <xdr:row>36</xdr:row>
      <xdr:rowOff>603250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11B5DB1-0FD0-44D1-B8B5-470C1F0DC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0444649" y="13036550"/>
          <a:ext cx="2108781" cy="1212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335970</xdr:colOff>
      <xdr:row>48</xdr:row>
      <xdr:rowOff>38100</xdr:rowOff>
    </xdr:from>
    <xdr:to>
      <xdr:col>2</xdr:col>
      <xdr:colOff>876301</xdr:colOff>
      <xdr:row>51</xdr:row>
      <xdr:rowOff>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60CDC35-F179-4D99-8552-643F43F19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0470049" y="19526250"/>
          <a:ext cx="2108781" cy="1231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rightToLeft="1" topLeftCell="A13" zoomScaleNormal="100" workbookViewId="0">
      <selection activeCell="D29" sqref="D29"/>
    </sheetView>
  </sheetViews>
  <sheetFormatPr defaultRowHeight="14" x14ac:dyDescent="0.3"/>
  <cols>
    <col min="1" max="1" width="25.58203125" customWidth="1"/>
    <col min="2" max="3" width="20.58203125" customWidth="1"/>
    <col min="4" max="4" width="15.58203125" customWidth="1"/>
    <col min="5" max="5" width="35.58203125" customWidth="1"/>
  </cols>
  <sheetData>
    <row r="1" spans="1:9" ht="14.5" thickBot="1" x14ac:dyDescent="0.35"/>
    <row r="2" spans="1:9" ht="26.5" thickTop="1" thickBot="1" x14ac:dyDescent="0.6">
      <c r="A2" s="293" t="s">
        <v>2</v>
      </c>
      <c r="B2" s="294"/>
      <c r="C2" s="294"/>
      <c r="D2" s="294"/>
      <c r="E2" s="295"/>
      <c r="F2" s="34"/>
      <c r="G2" s="34"/>
      <c r="H2" s="35"/>
      <c r="I2" s="36"/>
    </row>
    <row r="3" spans="1:9" ht="15" thickTop="1" thickBot="1" x14ac:dyDescent="0.35">
      <c r="A3" s="77"/>
      <c r="B3" s="78"/>
      <c r="C3" s="78"/>
      <c r="D3" s="78"/>
      <c r="E3" s="78"/>
      <c r="I3" s="38"/>
    </row>
    <row r="4" spans="1:9" ht="24" thickTop="1" thickBot="1" x14ac:dyDescent="0.35">
      <c r="A4" s="296" t="s">
        <v>16</v>
      </c>
      <c r="B4" s="297"/>
      <c r="C4" s="297"/>
      <c r="D4" s="297"/>
      <c r="E4" s="298"/>
      <c r="I4" s="38"/>
    </row>
    <row r="5" spans="1:9" ht="50.15" customHeight="1" thickTop="1" thickBot="1" x14ac:dyDescent="0.35">
      <c r="A5" s="58" t="s">
        <v>3</v>
      </c>
      <c r="B5" s="59" t="s">
        <v>15</v>
      </c>
      <c r="C5" s="299" t="s">
        <v>13</v>
      </c>
      <c r="D5" s="300"/>
      <c r="E5" s="60" t="s">
        <v>14</v>
      </c>
      <c r="I5" s="38"/>
    </row>
    <row r="6" spans="1:9" ht="30" customHeight="1" thickTop="1" thickBot="1" x14ac:dyDescent="0.35">
      <c r="A6" s="61" t="s">
        <v>42</v>
      </c>
      <c r="B6" s="61" t="s">
        <v>33</v>
      </c>
      <c r="C6" s="301">
        <v>45658</v>
      </c>
      <c r="D6" s="302"/>
      <c r="E6" s="61" t="s">
        <v>2</v>
      </c>
      <c r="I6" s="38"/>
    </row>
    <row r="7" spans="1:9" ht="30" customHeight="1" thickTop="1" thickBot="1" x14ac:dyDescent="0.35">
      <c r="A7" s="61" t="s">
        <v>4</v>
      </c>
      <c r="B7" s="61" t="s">
        <v>5</v>
      </c>
      <c r="C7" s="303"/>
      <c r="D7" s="304"/>
      <c r="E7" s="62" t="s">
        <v>44</v>
      </c>
      <c r="I7" s="38"/>
    </row>
    <row r="8" spans="1:9" ht="18" thickTop="1" x14ac:dyDescent="0.35">
      <c r="A8" s="63"/>
      <c r="B8" s="64"/>
      <c r="C8" s="64"/>
      <c r="D8" s="64"/>
      <c r="E8" s="64"/>
      <c r="I8" s="38"/>
    </row>
    <row r="9" spans="1:9" ht="15" thickBot="1" x14ac:dyDescent="0.4">
      <c r="A9" s="65"/>
      <c r="B9" s="66"/>
      <c r="C9" s="66"/>
      <c r="D9" s="66"/>
      <c r="E9" s="66"/>
      <c r="I9" s="38"/>
    </row>
    <row r="10" spans="1:9" ht="40" customHeight="1" thickBot="1" x14ac:dyDescent="0.35">
      <c r="A10" s="67" t="s">
        <v>0</v>
      </c>
      <c r="B10" s="68" t="s">
        <v>6</v>
      </c>
      <c r="C10" s="69" t="s">
        <v>9</v>
      </c>
      <c r="D10" s="69" t="s">
        <v>35</v>
      </c>
      <c r="E10" s="70" t="s">
        <v>10</v>
      </c>
      <c r="I10" s="38"/>
    </row>
    <row r="11" spans="1:9" ht="20.149999999999999" customHeight="1" thickTop="1" x14ac:dyDescent="0.3">
      <c r="A11" s="79">
        <v>45658</v>
      </c>
      <c r="B11" s="80" t="s">
        <v>7</v>
      </c>
      <c r="C11" s="80">
        <v>6</v>
      </c>
      <c r="D11" s="80" t="s">
        <v>36</v>
      </c>
      <c r="E11" s="305" t="s">
        <v>11</v>
      </c>
      <c r="I11" s="38"/>
    </row>
    <row r="12" spans="1:9" ht="20.149999999999999" customHeight="1" x14ac:dyDescent="0.3">
      <c r="A12" s="73">
        <v>45659</v>
      </c>
      <c r="B12" s="74" t="s">
        <v>8</v>
      </c>
      <c r="C12" s="74">
        <v>4</v>
      </c>
      <c r="D12" s="74" t="s">
        <v>37</v>
      </c>
      <c r="E12" s="306"/>
      <c r="I12" s="38"/>
    </row>
    <row r="13" spans="1:9" ht="20.149999999999999" customHeight="1" x14ac:dyDescent="0.3">
      <c r="A13" s="81">
        <v>45665</v>
      </c>
      <c r="B13" s="82" t="s">
        <v>7</v>
      </c>
      <c r="C13" s="82">
        <v>6</v>
      </c>
      <c r="D13" s="82" t="s">
        <v>36</v>
      </c>
      <c r="E13" s="306"/>
      <c r="I13" s="38"/>
    </row>
    <row r="14" spans="1:9" ht="20.149999999999999" customHeight="1" x14ac:dyDescent="0.3">
      <c r="A14" s="73">
        <v>45666</v>
      </c>
      <c r="B14" s="74" t="s">
        <v>8</v>
      </c>
      <c r="C14" s="74">
        <v>4</v>
      </c>
      <c r="D14" s="74" t="s">
        <v>37</v>
      </c>
      <c r="E14" s="306"/>
      <c r="I14" s="38"/>
    </row>
    <row r="15" spans="1:9" ht="20.149999999999999" customHeight="1" x14ac:dyDescent="0.3">
      <c r="A15" s="73">
        <v>45670</v>
      </c>
      <c r="B15" s="74" t="s">
        <v>34</v>
      </c>
      <c r="C15" s="74">
        <v>5</v>
      </c>
      <c r="D15" s="74" t="s">
        <v>36</v>
      </c>
      <c r="E15" s="306"/>
      <c r="I15" s="38"/>
    </row>
    <row r="16" spans="1:9" ht="20.149999999999999" customHeight="1" x14ac:dyDescent="0.3">
      <c r="A16" s="83">
        <v>45673</v>
      </c>
      <c r="B16" s="84" t="s">
        <v>8</v>
      </c>
      <c r="C16" s="84">
        <v>5</v>
      </c>
      <c r="D16" s="84" t="s">
        <v>37</v>
      </c>
      <c r="E16" s="306"/>
      <c r="I16" s="38"/>
    </row>
    <row r="17" spans="1:9" ht="20.149999999999999" customHeight="1" x14ac:dyDescent="0.3">
      <c r="A17" s="73">
        <v>45679</v>
      </c>
      <c r="B17" s="74" t="s">
        <v>7</v>
      </c>
      <c r="C17" s="74">
        <v>6</v>
      </c>
      <c r="D17" s="74" t="s">
        <v>36</v>
      </c>
      <c r="E17" s="306"/>
      <c r="I17" s="38"/>
    </row>
    <row r="18" spans="1:9" ht="20.149999999999999" customHeight="1" x14ac:dyDescent="0.3">
      <c r="A18" s="73">
        <v>45680</v>
      </c>
      <c r="B18" s="74" t="s">
        <v>8</v>
      </c>
      <c r="C18" s="74">
        <v>5</v>
      </c>
      <c r="D18" s="74" t="s">
        <v>37</v>
      </c>
      <c r="E18" s="306"/>
      <c r="I18" s="38"/>
    </row>
    <row r="19" spans="1:9" ht="20.149999999999999" customHeight="1" thickBot="1" x14ac:dyDescent="0.35">
      <c r="A19" s="85">
        <v>45684</v>
      </c>
      <c r="B19" s="86" t="s">
        <v>34</v>
      </c>
      <c r="C19" s="86">
        <v>6</v>
      </c>
      <c r="D19" s="86" t="s">
        <v>36</v>
      </c>
      <c r="E19" s="307"/>
      <c r="I19" s="38"/>
    </row>
    <row r="20" spans="1:9" ht="20.149999999999999" customHeight="1" thickTop="1" x14ac:dyDescent="0.3">
      <c r="A20" s="83">
        <v>45686</v>
      </c>
      <c r="B20" s="84" t="s">
        <v>7</v>
      </c>
      <c r="C20" s="84">
        <v>7</v>
      </c>
      <c r="D20" s="84" t="s">
        <v>37</v>
      </c>
      <c r="E20" s="306" t="s">
        <v>12</v>
      </c>
      <c r="I20" s="38"/>
    </row>
    <row r="21" spans="1:9" ht="20.149999999999999" customHeight="1" thickBot="1" x14ac:dyDescent="0.35">
      <c r="A21" s="85">
        <v>45687</v>
      </c>
      <c r="B21" s="86" t="s">
        <v>8</v>
      </c>
      <c r="C21" s="86">
        <v>6</v>
      </c>
      <c r="D21" s="86" t="s">
        <v>37</v>
      </c>
      <c r="E21" s="307"/>
      <c r="I21" s="38"/>
    </row>
    <row r="22" spans="1:9" ht="35.15" customHeight="1" thickTop="1" thickBot="1" x14ac:dyDescent="0.55000000000000004">
      <c r="A22" s="308" t="s">
        <v>1</v>
      </c>
      <c r="B22" s="309"/>
      <c r="C22" s="87">
        <f>SUM(C11:C21)</f>
        <v>60</v>
      </c>
      <c r="D22" s="87">
        <f>+'דצמבר 2024'!E14</f>
        <v>1774</v>
      </c>
      <c r="E22" s="87">
        <f>D22-C22</f>
        <v>1714</v>
      </c>
      <c r="I22" s="38"/>
    </row>
    <row r="23" spans="1:9" ht="15" thickTop="1" x14ac:dyDescent="0.35">
      <c r="A23" s="65"/>
      <c r="B23" s="66"/>
      <c r="C23" s="66"/>
      <c r="D23" s="66"/>
      <c r="E23" s="66"/>
      <c r="I23" s="38"/>
    </row>
    <row r="24" spans="1:9" ht="15" thickBot="1" x14ac:dyDescent="0.4">
      <c r="A24" s="65"/>
      <c r="B24" s="66"/>
      <c r="C24" s="66"/>
      <c r="D24" s="66"/>
      <c r="E24" s="66"/>
      <c r="I24" s="38"/>
    </row>
    <row r="25" spans="1:9" ht="30" customHeight="1" thickTop="1" x14ac:dyDescent="0.4">
      <c r="A25" s="310" t="s">
        <v>18</v>
      </c>
      <c r="B25" s="311"/>
      <c r="C25" s="92">
        <v>85</v>
      </c>
      <c r="E25" s="41"/>
      <c r="F25" s="42"/>
      <c r="G25" s="39"/>
      <c r="H25" s="39"/>
      <c r="I25" s="20"/>
    </row>
    <row r="26" spans="1:9" ht="30" customHeight="1" x14ac:dyDescent="0.4">
      <c r="A26" s="312" t="s">
        <v>19</v>
      </c>
      <c r="B26" s="313"/>
      <c r="C26" s="93">
        <v>225</v>
      </c>
      <c r="D26" s="90"/>
      <c r="E26" s="43"/>
      <c r="F26" s="44"/>
      <c r="G26" s="39"/>
      <c r="H26" s="39"/>
      <c r="I26" s="20"/>
    </row>
    <row r="27" spans="1:9" ht="30" customHeight="1" x14ac:dyDescent="0.4">
      <c r="A27" s="312" t="s">
        <v>20</v>
      </c>
      <c r="B27" s="313"/>
      <c r="C27" s="93">
        <f>C26*C25</f>
        <v>19125</v>
      </c>
      <c r="D27" s="91"/>
      <c r="E27" s="43"/>
      <c r="F27" s="44"/>
      <c r="G27" s="39"/>
      <c r="H27" s="39"/>
      <c r="I27" s="20"/>
    </row>
    <row r="28" spans="1:9" ht="30" customHeight="1" thickBot="1" x14ac:dyDescent="0.45">
      <c r="A28" s="314" t="s">
        <v>21</v>
      </c>
      <c r="B28" s="315"/>
      <c r="C28" s="94">
        <f>+C27*18/100</f>
        <v>3442.5</v>
      </c>
      <c r="D28" s="91"/>
      <c r="E28" s="43"/>
      <c r="F28" s="44"/>
      <c r="G28" s="39"/>
      <c r="H28" s="39"/>
      <c r="I28" s="20"/>
    </row>
    <row r="29" spans="1:9" ht="30" customHeight="1" thickTop="1" thickBot="1" x14ac:dyDescent="0.45">
      <c r="A29" s="291" t="s">
        <v>20</v>
      </c>
      <c r="B29" s="292"/>
      <c r="C29" s="95">
        <f>C28+C27</f>
        <v>22567.5</v>
      </c>
      <c r="D29" s="91"/>
      <c r="E29" s="43"/>
      <c r="F29" s="42"/>
      <c r="G29" s="39"/>
      <c r="H29" s="39"/>
      <c r="I29" s="20"/>
    </row>
    <row r="30" spans="1:9" ht="21.5" thickTop="1" thickBot="1" x14ac:dyDescent="0.5">
      <c r="A30" s="88"/>
      <c r="B30" s="89"/>
      <c r="C30" s="89"/>
      <c r="D30" s="89"/>
      <c r="E30" s="89"/>
      <c r="F30" s="45"/>
      <c r="G30" s="45"/>
      <c r="H30" s="45"/>
      <c r="I30" s="22"/>
    </row>
    <row r="31" spans="1:9" ht="18.5" thickTop="1" x14ac:dyDescent="0.4">
      <c r="A31" s="284" t="s">
        <v>22</v>
      </c>
      <c r="B31" s="285"/>
      <c r="C31" s="285"/>
      <c r="D31" s="285"/>
      <c r="E31" s="285"/>
      <c r="F31" s="285"/>
      <c r="G31" s="285"/>
      <c r="H31" s="285"/>
      <c r="I31" s="286"/>
    </row>
    <row r="32" spans="1:9" ht="20.5" thickBot="1" x14ac:dyDescent="0.65">
      <c r="A32" s="274" t="s">
        <v>23</v>
      </c>
      <c r="B32" s="275"/>
      <c r="C32" s="46"/>
      <c r="D32" s="282"/>
      <c r="E32" s="282"/>
      <c r="F32" s="47"/>
      <c r="G32" s="48" t="s">
        <v>24</v>
      </c>
      <c r="H32" s="287">
        <v>45688</v>
      </c>
      <c r="I32" s="288"/>
    </row>
    <row r="33" spans="1:9" ht="21" thickTop="1" thickBot="1" x14ac:dyDescent="0.65">
      <c r="A33" s="274" t="s">
        <v>25</v>
      </c>
      <c r="B33" s="275"/>
      <c r="C33" s="46"/>
      <c r="D33" s="289" t="s">
        <v>26</v>
      </c>
      <c r="E33" s="290"/>
      <c r="F33" s="290"/>
      <c r="G33" s="290"/>
      <c r="H33" s="290"/>
      <c r="I33" s="20"/>
    </row>
    <row r="34" spans="1:9" ht="18.5" thickTop="1" x14ac:dyDescent="0.4">
      <c r="A34" s="279" t="s">
        <v>27</v>
      </c>
      <c r="B34" s="280"/>
      <c r="C34" s="280"/>
      <c r="D34" s="280"/>
      <c r="E34" s="280"/>
      <c r="F34" s="47"/>
      <c r="G34" s="280" t="s">
        <v>28</v>
      </c>
      <c r="H34" s="280"/>
      <c r="I34" s="281"/>
    </row>
    <row r="35" spans="1:9" ht="18.5" thickBot="1" x14ac:dyDescent="0.45">
      <c r="A35" s="279" t="s">
        <v>29</v>
      </c>
      <c r="B35" s="280"/>
      <c r="C35" s="280"/>
      <c r="D35" s="280"/>
      <c r="E35" s="48" t="s">
        <v>30</v>
      </c>
      <c r="F35" s="48"/>
      <c r="G35" s="282"/>
      <c r="H35" s="282"/>
      <c r="I35" s="23"/>
    </row>
    <row r="36" spans="1:9" ht="19" thickTop="1" thickBot="1" x14ac:dyDescent="0.45">
      <c r="A36" s="274" t="s">
        <v>30</v>
      </c>
      <c r="B36" s="275"/>
      <c r="C36" s="46"/>
      <c r="D36" s="24"/>
      <c r="E36" s="48" t="s">
        <v>31</v>
      </c>
      <c r="F36" s="48"/>
      <c r="G36" s="283"/>
      <c r="H36" s="283"/>
      <c r="I36" s="20"/>
    </row>
    <row r="37" spans="1:9" ht="19" thickTop="1" thickBot="1" x14ac:dyDescent="0.45">
      <c r="A37" s="274" t="s">
        <v>23</v>
      </c>
      <c r="B37" s="275"/>
      <c r="C37" s="46"/>
      <c r="D37" s="24"/>
      <c r="E37" s="48" t="s">
        <v>23</v>
      </c>
      <c r="F37" s="48"/>
      <c r="G37" s="24"/>
      <c r="H37" s="48" t="s">
        <v>0</v>
      </c>
      <c r="I37" s="25"/>
    </row>
    <row r="38" spans="1:9" ht="19" thickTop="1" thickBot="1" x14ac:dyDescent="0.45">
      <c r="A38" s="276" t="s">
        <v>32</v>
      </c>
      <c r="B38" s="277"/>
      <c r="C38" s="277"/>
      <c r="D38" s="277"/>
      <c r="E38" s="277"/>
      <c r="F38" s="277"/>
      <c r="G38" s="277"/>
      <c r="H38" s="277"/>
      <c r="I38" s="278"/>
    </row>
    <row r="39" spans="1:9" ht="14.5" thickTop="1" x14ac:dyDescent="0.3"/>
  </sheetData>
  <mergeCells count="26">
    <mergeCell ref="A29:B29"/>
    <mergeCell ref="A2:E2"/>
    <mergeCell ref="A4:E4"/>
    <mergeCell ref="C5:D5"/>
    <mergeCell ref="C6:D7"/>
    <mergeCell ref="E11:E19"/>
    <mergeCell ref="E20:E21"/>
    <mergeCell ref="A22:B22"/>
    <mergeCell ref="A25:B25"/>
    <mergeCell ref="A26:B26"/>
    <mergeCell ref="A27:B27"/>
    <mergeCell ref="A28:B28"/>
    <mergeCell ref="A31:I31"/>
    <mergeCell ref="A32:B32"/>
    <mergeCell ref="D32:E32"/>
    <mergeCell ref="H32:I32"/>
    <mergeCell ref="A33:B33"/>
    <mergeCell ref="D33:H33"/>
    <mergeCell ref="A37:B37"/>
    <mergeCell ref="A38:I38"/>
    <mergeCell ref="A34:E34"/>
    <mergeCell ref="G34:I34"/>
    <mergeCell ref="A35:D35"/>
    <mergeCell ref="G35:H35"/>
    <mergeCell ref="A36:B36"/>
    <mergeCell ref="G36:H36"/>
  </mergeCells>
  <pageMargins left="0.7" right="0.7" top="0.75" bottom="0.75" header="0.3" footer="0.3"/>
  <pageSetup paperSize="9" scale="4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rightToLeft="1" zoomScaleNormal="100" workbookViewId="0">
      <selection activeCell="B33" sqref="A33:B33"/>
    </sheetView>
  </sheetViews>
  <sheetFormatPr defaultRowHeight="14" x14ac:dyDescent="0.3"/>
  <cols>
    <col min="1" max="1" width="25.58203125" customWidth="1"/>
    <col min="2" max="3" width="20.58203125" customWidth="1"/>
    <col min="4" max="4" width="15.58203125" customWidth="1"/>
    <col min="5" max="5" width="35.58203125" customWidth="1"/>
  </cols>
  <sheetData>
    <row r="1" spans="1:9" ht="14.5" thickBot="1" x14ac:dyDescent="0.35"/>
    <row r="2" spans="1:9" ht="26.5" thickTop="1" thickBot="1" x14ac:dyDescent="0.6">
      <c r="A2" s="293" t="s">
        <v>2</v>
      </c>
      <c r="B2" s="294"/>
      <c r="C2" s="294"/>
      <c r="D2" s="294"/>
      <c r="E2" s="295"/>
      <c r="F2" s="34"/>
      <c r="G2" s="34"/>
      <c r="H2" s="35"/>
      <c r="I2" s="36"/>
    </row>
    <row r="3" spans="1:9" ht="15" thickTop="1" thickBot="1" x14ac:dyDescent="0.35">
      <c r="A3" s="77"/>
      <c r="B3" s="78"/>
      <c r="C3" s="78"/>
      <c r="D3" s="78"/>
      <c r="E3" s="78"/>
      <c r="I3" s="38"/>
    </row>
    <row r="4" spans="1:9" ht="24" thickTop="1" thickBot="1" x14ac:dyDescent="0.35">
      <c r="A4" s="296" t="s">
        <v>45</v>
      </c>
      <c r="B4" s="297"/>
      <c r="C4" s="297"/>
      <c r="D4" s="297"/>
      <c r="E4" s="298"/>
      <c r="I4" s="38"/>
    </row>
    <row r="5" spans="1:9" ht="50.15" customHeight="1" thickTop="1" thickBot="1" x14ac:dyDescent="0.35">
      <c r="A5" s="58" t="s">
        <v>3</v>
      </c>
      <c r="B5" s="59" t="s">
        <v>15</v>
      </c>
      <c r="C5" s="299" t="s">
        <v>13</v>
      </c>
      <c r="D5" s="300"/>
      <c r="E5" s="60" t="s">
        <v>14</v>
      </c>
      <c r="I5" s="38"/>
    </row>
    <row r="6" spans="1:9" ht="30" customHeight="1" thickTop="1" thickBot="1" x14ac:dyDescent="0.35">
      <c r="A6" s="61" t="s">
        <v>42</v>
      </c>
      <c r="B6" s="61" t="s">
        <v>33</v>
      </c>
      <c r="C6" s="301">
        <v>45627</v>
      </c>
      <c r="D6" s="302"/>
      <c r="E6" s="61" t="s">
        <v>2</v>
      </c>
      <c r="I6" s="38"/>
    </row>
    <row r="7" spans="1:9" ht="30" customHeight="1" thickTop="1" thickBot="1" x14ac:dyDescent="0.35">
      <c r="A7" s="61" t="s">
        <v>4</v>
      </c>
      <c r="B7" s="61" t="s">
        <v>5</v>
      </c>
      <c r="C7" s="303"/>
      <c r="D7" s="304"/>
      <c r="E7" s="62" t="s">
        <v>43</v>
      </c>
      <c r="I7" s="38"/>
    </row>
    <row r="8" spans="1:9" ht="18" thickTop="1" x14ac:dyDescent="0.35">
      <c r="A8" s="63"/>
      <c r="B8" s="64"/>
      <c r="C8" s="64"/>
      <c r="D8" s="64"/>
      <c r="E8" s="64"/>
      <c r="I8" s="38"/>
    </row>
    <row r="9" spans="1:9" ht="15" thickBot="1" x14ac:dyDescent="0.4">
      <c r="A9" s="65"/>
      <c r="B9" s="66"/>
      <c r="C9" s="66"/>
      <c r="D9" s="66"/>
      <c r="E9" s="66"/>
      <c r="I9" s="38"/>
    </row>
    <row r="10" spans="1:9" ht="40" customHeight="1" thickBot="1" x14ac:dyDescent="0.35">
      <c r="A10" s="67" t="s">
        <v>0</v>
      </c>
      <c r="B10" s="68" t="s">
        <v>6</v>
      </c>
      <c r="C10" s="69" t="s">
        <v>9</v>
      </c>
      <c r="D10" s="69" t="s">
        <v>35</v>
      </c>
      <c r="E10" s="70" t="s">
        <v>10</v>
      </c>
      <c r="I10" s="38"/>
    </row>
    <row r="11" spans="1:9" ht="20.149999999999999" customHeight="1" thickTop="1" x14ac:dyDescent="0.3">
      <c r="A11" s="71">
        <v>46013</v>
      </c>
      <c r="B11" s="72" t="s">
        <v>17</v>
      </c>
      <c r="C11" s="72">
        <v>8</v>
      </c>
      <c r="D11" s="80" t="s">
        <v>36</v>
      </c>
      <c r="E11" s="305" t="s">
        <v>11</v>
      </c>
      <c r="I11" s="38"/>
    </row>
    <row r="12" spans="1:9" ht="20.149999999999999" customHeight="1" x14ac:dyDescent="0.3">
      <c r="A12" s="73">
        <v>46016</v>
      </c>
      <c r="B12" s="74" t="s">
        <v>7</v>
      </c>
      <c r="C12" s="74">
        <v>10</v>
      </c>
      <c r="D12" s="74" t="s">
        <v>37</v>
      </c>
      <c r="E12" s="306"/>
      <c r="I12" s="38"/>
    </row>
    <row r="13" spans="1:9" ht="20.149999999999999" customHeight="1" thickBot="1" x14ac:dyDescent="0.35">
      <c r="A13" s="75">
        <v>46017</v>
      </c>
      <c r="B13" s="76" t="s">
        <v>8</v>
      </c>
      <c r="C13" s="76">
        <v>8</v>
      </c>
      <c r="D13" s="86" t="s">
        <v>37</v>
      </c>
      <c r="E13" s="307"/>
      <c r="I13" s="38"/>
    </row>
    <row r="14" spans="1:9" ht="35.15" customHeight="1" thickTop="1" thickBot="1" x14ac:dyDescent="0.55000000000000004">
      <c r="A14" s="318" t="s">
        <v>1</v>
      </c>
      <c r="B14" s="319"/>
      <c r="C14" s="87">
        <f>SUM(C11:C13)</f>
        <v>26</v>
      </c>
      <c r="D14" s="87">
        <v>1800</v>
      </c>
      <c r="E14" s="87">
        <f>D14-C14</f>
        <v>1774</v>
      </c>
      <c r="I14" s="38"/>
    </row>
    <row r="15" spans="1:9" ht="15" thickTop="1" x14ac:dyDescent="0.35">
      <c r="A15" s="65"/>
      <c r="B15" s="66"/>
      <c r="C15" s="66"/>
      <c r="D15" s="66"/>
      <c r="E15" s="66"/>
      <c r="I15" s="38"/>
    </row>
    <row r="16" spans="1:9" ht="15" thickBot="1" x14ac:dyDescent="0.4">
      <c r="A16" s="65"/>
      <c r="B16" s="66"/>
      <c r="C16" s="66"/>
      <c r="D16" s="66"/>
      <c r="E16" s="66"/>
      <c r="I16" s="38"/>
    </row>
    <row r="17" spans="1:9" ht="30" customHeight="1" thickTop="1" x14ac:dyDescent="0.4">
      <c r="A17" s="310" t="s">
        <v>18</v>
      </c>
      <c r="B17" s="311"/>
      <c r="C17" s="53">
        <v>26</v>
      </c>
      <c r="E17" s="41"/>
      <c r="F17" s="42"/>
      <c r="G17" s="39"/>
      <c r="H17" s="39"/>
      <c r="I17" s="20"/>
    </row>
    <row r="18" spans="1:9" ht="30" customHeight="1" x14ac:dyDescent="0.4">
      <c r="A18" s="312" t="s">
        <v>19</v>
      </c>
      <c r="B18" s="313"/>
      <c r="C18" s="55"/>
      <c r="D18" s="90"/>
      <c r="E18" s="43"/>
      <c r="F18" s="44"/>
      <c r="G18" s="39"/>
      <c r="H18" s="39"/>
      <c r="I18" s="20"/>
    </row>
    <row r="19" spans="1:9" ht="30" customHeight="1" x14ac:dyDescent="0.4">
      <c r="A19" s="312" t="s">
        <v>20</v>
      </c>
      <c r="B19" s="313"/>
      <c r="C19" s="55"/>
      <c r="D19" s="91"/>
      <c r="E19" s="43"/>
      <c r="F19" s="44"/>
      <c r="G19" s="39"/>
      <c r="H19" s="39"/>
      <c r="I19" s="20"/>
    </row>
    <row r="20" spans="1:9" ht="30" customHeight="1" thickBot="1" x14ac:dyDescent="0.45">
      <c r="A20" s="320" t="s">
        <v>21</v>
      </c>
      <c r="B20" s="321"/>
      <c r="C20" s="56"/>
      <c r="D20" s="91"/>
      <c r="E20" s="43"/>
      <c r="F20" s="44"/>
      <c r="G20" s="39"/>
      <c r="H20" s="39"/>
      <c r="I20" s="20"/>
    </row>
    <row r="21" spans="1:9" ht="30" customHeight="1" thickTop="1" thickBot="1" x14ac:dyDescent="0.45">
      <c r="A21" s="316" t="s">
        <v>20</v>
      </c>
      <c r="B21" s="317"/>
      <c r="C21" s="57">
        <f>C20+C19</f>
        <v>0</v>
      </c>
      <c r="D21" s="91"/>
      <c r="E21" s="43"/>
      <c r="F21" s="42"/>
      <c r="G21" s="39"/>
      <c r="H21" s="39"/>
      <c r="I21" s="20"/>
    </row>
    <row r="22" spans="1:9" ht="21.5" thickTop="1" thickBot="1" x14ac:dyDescent="0.5">
      <c r="A22" s="88"/>
      <c r="B22" s="89"/>
      <c r="C22" s="89"/>
      <c r="D22" s="89"/>
      <c r="E22" s="89"/>
      <c r="F22" s="45"/>
      <c r="G22" s="45"/>
      <c r="H22" s="45"/>
      <c r="I22" s="22"/>
    </row>
    <row r="23" spans="1:9" ht="18.5" thickTop="1" x14ac:dyDescent="0.4">
      <c r="A23" s="284" t="s">
        <v>22</v>
      </c>
      <c r="B23" s="285"/>
      <c r="C23" s="285"/>
      <c r="D23" s="285"/>
      <c r="E23" s="285"/>
      <c r="F23" s="285"/>
      <c r="G23" s="285"/>
      <c r="H23" s="285"/>
      <c r="I23" s="286"/>
    </row>
    <row r="24" spans="1:9" ht="20.5" thickBot="1" x14ac:dyDescent="0.65">
      <c r="A24" s="274" t="s">
        <v>23</v>
      </c>
      <c r="B24" s="275"/>
      <c r="C24" s="46"/>
      <c r="D24" s="282"/>
      <c r="E24" s="282"/>
      <c r="F24" s="47"/>
      <c r="G24" s="48" t="s">
        <v>24</v>
      </c>
      <c r="H24" s="287">
        <v>45656</v>
      </c>
      <c r="I24" s="288"/>
    </row>
    <row r="25" spans="1:9" ht="21" thickTop="1" thickBot="1" x14ac:dyDescent="0.65">
      <c r="A25" s="274" t="s">
        <v>25</v>
      </c>
      <c r="B25" s="275"/>
      <c r="C25" s="46"/>
      <c r="D25" s="289" t="s">
        <v>26</v>
      </c>
      <c r="E25" s="290"/>
      <c r="F25" s="290"/>
      <c r="G25" s="290"/>
      <c r="H25" s="290"/>
      <c r="I25" s="20"/>
    </row>
    <row r="26" spans="1:9" ht="18.5" thickTop="1" x14ac:dyDescent="0.4">
      <c r="A26" s="279" t="s">
        <v>27</v>
      </c>
      <c r="B26" s="280"/>
      <c r="C26" s="280"/>
      <c r="D26" s="280"/>
      <c r="E26" s="280"/>
      <c r="F26" s="47"/>
      <c r="G26" s="280" t="s">
        <v>28</v>
      </c>
      <c r="H26" s="280"/>
      <c r="I26" s="281"/>
    </row>
    <row r="27" spans="1:9" ht="18.5" thickBot="1" x14ac:dyDescent="0.45">
      <c r="A27" s="279" t="s">
        <v>29</v>
      </c>
      <c r="B27" s="280"/>
      <c r="C27" s="280"/>
      <c r="D27" s="280"/>
      <c r="E27" s="48" t="s">
        <v>30</v>
      </c>
      <c r="F27" s="48"/>
      <c r="G27" s="282"/>
      <c r="H27" s="282"/>
      <c r="I27" s="23"/>
    </row>
    <row r="28" spans="1:9" ht="19" thickTop="1" thickBot="1" x14ac:dyDescent="0.45">
      <c r="A28" s="274" t="s">
        <v>30</v>
      </c>
      <c r="B28" s="275"/>
      <c r="C28" s="46"/>
      <c r="D28" s="24"/>
      <c r="E28" s="48" t="s">
        <v>31</v>
      </c>
      <c r="F28" s="48"/>
      <c r="G28" s="283"/>
      <c r="H28" s="283"/>
      <c r="I28" s="20"/>
    </row>
    <row r="29" spans="1:9" ht="19" thickTop="1" thickBot="1" x14ac:dyDescent="0.45">
      <c r="A29" s="274" t="s">
        <v>23</v>
      </c>
      <c r="B29" s="275"/>
      <c r="C29" s="46"/>
      <c r="D29" s="24"/>
      <c r="E29" s="48" t="s">
        <v>23</v>
      </c>
      <c r="F29" s="48"/>
      <c r="G29" s="24"/>
      <c r="H29" s="48" t="s">
        <v>0</v>
      </c>
      <c r="I29" s="25"/>
    </row>
    <row r="30" spans="1:9" ht="19" thickTop="1" thickBot="1" x14ac:dyDescent="0.45">
      <c r="A30" s="276" t="s">
        <v>32</v>
      </c>
      <c r="B30" s="277"/>
      <c r="C30" s="277"/>
      <c r="D30" s="277"/>
      <c r="E30" s="277"/>
      <c r="F30" s="277"/>
      <c r="G30" s="277"/>
      <c r="H30" s="277"/>
      <c r="I30" s="278"/>
    </row>
    <row r="31" spans="1:9" ht="14.5" thickTop="1" x14ac:dyDescent="0.3"/>
  </sheetData>
  <mergeCells count="25">
    <mergeCell ref="A21:B21"/>
    <mergeCell ref="A2:E2"/>
    <mergeCell ref="A4:E4"/>
    <mergeCell ref="C5:D5"/>
    <mergeCell ref="C6:D7"/>
    <mergeCell ref="E11:E13"/>
    <mergeCell ref="A14:B14"/>
    <mergeCell ref="A17:B17"/>
    <mergeCell ref="A18:B18"/>
    <mergeCell ref="A19:B19"/>
    <mergeCell ref="A20:B20"/>
    <mergeCell ref="A23:I23"/>
    <mergeCell ref="A24:B24"/>
    <mergeCell ref="D24:E24"/>
    <mergeCell ref="H24:I24"/>
    <mergeCell ref="A25:B25"/>
    <mergeCell ref="D25:H25"/>
    <mergeCell ref="A29:B29"/>
    <mergeCell ref="A30:I30"/>
    <mergeCell ref="A26:E26"/>
    <mergeCell ref="G26:I26"/>
    <mergeCell ref="A27:D27"/>
    <mergeCell ref="G27:H27"/>
    <mergeCell ref="A28:B28"/>
    <mergeCell ref="G28:H28"/>
  </mergeCells>
  <pageMargins left="0.7" right="0.7" top="0.75" bottom="0.75" header="0.3" footer="0.3"/>
  <pageSetup paperSize="9" scale="4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rightToLeft="1" zoomScaleNormal="100" workbookViewId="0">
      <selection activeCell="D22" sqref="D22"/>
    </sheetView>
  </sheetViews>
  <sheetFormatPr defaultRowHeight="14" x14ac:dyDescent="0.3"/>
  <cols>
    <col min="1" max="1" width="25.58203125" customWidth="1"/>
    <col min="2" max="3" width="20.58203125" customWidth="1"/>
    <col min="4" max="4" width="15.58203125" customWidth="1"/>
    <col min="5" max="5" width="35.58203125" customWidth="1"/>
  </cols>
  <sheetData>
    <row r="1" spans="1:9" ht="14.5" thickBot="1" x14ac:dyDescent="0.35"/>
    <row r="2" spans="1:9" ht="26.5" thickTop="1" thickBot="1" x14ac:dyDescent="0.6">
      <c r="A2" s="293" t="s">
        <v>2</v>
      </c>
      <c r="B2" s="294"/>
      <c r="C2" s="294"/>
      <c r="D2" s="294"/>
      <c r="E2" s="295"/>
      <c r="F2" s="34"/>
      <c r="G2" s="34"/>
      <c r="H2" s="35"/>
      <c r="I2" s="36"/>
    </row>
    <row r="3" spans="1:9" ht="15" thickTop="1" thickBot="1" x14ac:dyDescent="0.35">
      <c r="A3" s="77"/>
      <c r="B3" s="78"/>
      <c r="C3" s="78"/>
      <c r="D3" s="78"/>
      <c r="E3" s="78"/>
      <c r="I3" s="38"/>
    </row>
    <row r="4" spans="1:9" ht="24" thickTop="1" thickBot="1" x14ac:dyDescent="0.35">
      <c r="A4" s="296" t="s">
        <v>16</v>
      </c>
      <c r="B4" s="297"/>
      <c r="C4" s="297"/>
      <c r="D4" s="297"/>
      <c r="E4" s="298"/>
      <c r="I4" s="38"/>
    </row>
    <row r="5" spans="1:9" ht="50.15" customHeight="1" thickTop="1" thickBot="1" x14ac:dyDescent="0.35">
      <c r="A5" s="58" t="s">
        <v>3</v>
      </c>
      <c r="B5" s="59" t="s">
        <v>15</v>
      </c>
      <c r="C5" s="299" t="s">
        <v>13</v>
      </c>
      <c r="D5" s="300"/>
      <c r="E5" s="60" t="s">
        <v>14</v>
      </c>
      <c r="I5" s="38"/>
    </row>
    <row r="6" spans="1:9" ht="30" customHeight="1" thickTop="1" thickBot="1" x14ac:dyDescent="0.35">
      <c r="A6" s="61" t="s">
        <v>42</v>
      </c>
      <c r="B6" s="61" t="s">
        <v>33</v>
      </c>
      <c r="C6" s="301">
        <v>45658</v>
      </c>
      <c r="D6" s="302"/>
      <c r="E6" s="61" t="s">
        <v>2</v>
      </c>
      <c r="I6" s="38"/>
    </row>
    <row r="7" spans="1:9" ht="30" customHeight="1" thickTop="1" thickBot="1" x14ac:dyDescent="0.35">
      <c r="A7" s="61" t="s">
        <v>4</v>
      </c>
      <c r="B7" s="61" t="s">
        <v>5</v>
      </c>
      <c r="C7" s="303"/>
      <c r="D7" s="304"/>
      <c r="E7" s="62" t="s">
        <v>44</v>
      </c>
      <c r="I7" s="38"/>
    </row>
    <row r="8" spans="1:9" ht="18" thickTop="1" x14ac:dyDescent="0.35">
      <c r="A8" s="63"/>
      <c r="B8" s="64"/>
      <c r="C8" s="64"/>
      <c r="D8" s="64"/>
      <c r="E8" s="64"/>
      <c r="I8" s="38"/>
    </row>
    <row r="9" spans="1:9" ht="15" thickBot="1" x14ac:dyDescent="0.4">
      <c r="A9" s="65"/>
      <c r="B9" s="66"/>
      <c r="C9" s="66"/>
      <c r="D9" s="66"/>
      <c r="E9" s="66"/>
      <c r="I9" s="38"/>
    </row>
    <row r="10" spans="1:9" ht="40" customHeight="1" thickBot="1" x14ac:dyDescent="0.35">
      <c r="A10" s="67" t="s">
        <v>0</v>
      </c>
      <c r="B10" s="68" t="s">
        <v>6</v>
      </c>
      <c r="C10" s="69" t="s">
        <v>9</v>
      </c>
      <c r="D10" s="69" t="s">
        <v>35</v>
      </c>
      <c r="E10" s="70" t="s">
        <v>10</v>
      </c>
      <c r="I10" s="38"/>
    </row>
    <row r="11" spans="1:9" ht="20.149999999999999" customHeight="1" thickTop="1" x14ac:dyDescent="0.3">
      <c r="A11" s="79">
        <v>45658</v>
      </c>
      <c r="B11" s="80" t="s">
        <v>7</v>
      </c>
      <c r="C11" s="80">
        <v>6</v>
      </c>
      <c r="D11" s="80" t="s">
        <v>36</v>
      </c>
      <c r="E11" s="305" t="s">
        <v>11</v>
      </c>
      <c r="I11" s="38"/>
    </row>
    <row r="12" spans="1:9" ht="20.149999999999999" customHeight="1" x14ac:dyDescent="0.3">
      <c r="A12" s="73">
        <v>45659</v>
      </c>
      <c r="B12" s="74" t="s">
        <v>8</v>
      </c>
      <c r="C12" s="74">
        <v>4</v>
      </c>
      <c r="D12" s="74" t="s">
        <v>37</v>
      </c>
      <c r="E12" s="306"/>
      <c r="I12" s="38"/>
    </row>
    <row r="13" spans="1:9" ht="20.149999999999999" customHeight="1" x14ac:dyDescent="0.3">
      <c r="A13" s="81">
        <v>45665</v>
      </c>
      <c r="B13" s="82" t="s">
        <v>7</v>
      </c>
      <c r="C13" s="82">
        <v>6</v>
      </c>
      <c r="D13" s="82" t="s">
        <v>36</v>
      </c>
      <c r="E13" s="306"/>
      <c r="I13" s="38"/>
    </row>
    <row r="14" spans="1:9" ht="20.149999999999999" customHeight="1" x14ac:dyDescent="0.3">
      <c r="A14" s="73">
        <v>45666</v>
      </c>
      <c r="B14" s="74" t="s">
        <v>8</v>
      </c>
      <c r="C14" s="74">
        <v>4</v>
      </c>
      <c r="D14" s="74" t="s">
        <v>37</v>
      </c>
      <c r="E14" s="306"/>
      <c r="I14" s="38"/>
    </row>
    <row r="15" spans="1:9" ht="20.149999999999999" customHeight="1" x14ac:dyDescent="0.3">
      <c r="A15" s="73">
        <v>45670</v>
      </c>
      <c r="B15" s="74" t="s">
        <v>34</v>
      </c>
      <c r="C15" s="74">
        <v>5</v>
      </c>
      <c r="D15" s="74" t="s">
        <v>36</v>
      </c>
      <c r="E15" s="306"/>
      <c r="I15" s="38"/>
    </row>
    <row r="16" spans="1:9" ht="20.149999999999999" customHeight="1" x14ac:dyDescent="0.3">
      <c r="A16" s="83">
        <v>45673</v>
      </c>
      <c r="B16" s="84" t="s">
        <v>8</v>
      </c>
      <c r="C16" s="84">
        <v>5</v>
      </c>
      <c r="D16" s="84" t="s">
        <v>37</v>
      </c>
      <c r="E16" s="306"/>
      <c r="I16" s="38"/>
    </row>
    <row r="17" spans="1:9" ht="20.149999999999999" customHeight="1" x14ac:dyDescent="0.3">
      <c r="A17" s="73">
        <v>45679</v>
      </c>
      <c r="B17" s="74" t="s">
        <v>7</v>
      </c>
      <c r="C17" s="74">
        <v>6</v>
      </c>
      <c r="D17" s="74" t="s">
        <v>36</v>
      </c>
      <c r="E17" s="306"/>
      <c r="I17" s="38"/>
    </row>
    <row r="18" spans="1:9" ht="20.149999999999999" customHeight="1" x14ac:dyDescent="0.3">
      <c r="A18" s="73">
        <v>45680</v>
      </c>
      <c r="B18" s="74" t="s">
        <v>8</v>
      </c>
      <c r="C18" s="74">
        <v>5</v>
      </c>
      <c r="D18" s="74" t="s">
        <v>37</v>
      </c>
      <c r="E18" s="306"/>
      <c r="I18" s="38"/>
    </row>
    <row r="19" spans="1:9" ht="20.149999999999999" customHeight="1" thickBot="1" x14ac:dyDescent="0.35">
      <c r="A19" s="85">
        <v>45684</v>
      </c>
      <c r="B19" s="86" t="s">
        <v>34</v>
      </c>
      <c r="C19" s="86">
        <v>6</v>
      </c>
      <c r="D19" s="86" t="s">
        <v>36</v>
      </c>
      <c r="E19" s="307"/>
      <c r="I19" s="38"/>
    </row>
    <row r="20" spans="1:9" ht="20.149999999999999" customHeight="1" thickTop="1" x14ac:dyDescent="0.3">
      <c r="A20" s="83">
        <v>45686</v>
      </c>
      <c r="B20" s="84" t="s">
        <v>7</v>
      </c>
      <c r="C20" s="84">
        <v>7</v>
      </c>
      <c r="D20" s="84" t="s">
        <v>37</v>
      </c>
      <c r="E20" s="306" t="s">
        <v>12</v>
      </c>
      <c r="I20" s="38"/>
    </row>
    <row r="21" spans="1:9" ht="20.149999999999999" customHeight="1" thickBot="1" x14ac:dyDescent="0.35">
      <c r="A21" s="85">
        <v>45687</v>
      </c>
      <c r="B21" s="86" t="s">
        <v>8</v>
      </c>
      <c r="C21" s="86">
        <v>6</v>
      </c>
      <c r="D21" s="86" t="s">
        <v>37</v>
      </c>
      <c r="E21" s="307"/>
      <c r="I21" s="38"/>
    </row>
    <row r="22" spans="1:9" ht="35.15" customHeight="1" thickTop="1" thickBot="1" x14ac:dyDescent="0.55000000000000004">
      <c r="A22" s="308" t="s">
        <v>1</v>
      </c>
      <c r="B22" s="309"/>
      <c r="C22" s="87">
        <f>SUM(C11:C21)</f>
        <v>60</v>
      </c>
      <c r="D22" s="87">
        <f>+'דצמבר 2024'!E14</f>
        <v>1774</v>
      </c>
      <c r="E22" s="87">
        <f>D22-C22</f>
        <v>1714</v>
      </c>
      <c r="I22" s="38"/>
    </row>
    <row r="23" spans="1:9" ht="15" thickTop="1" x14ac:dyDescent="0.35">
      <c r="A23" s="65"/>
      <c r="B23" s="66"/>
      <c r="C23" s="66"/>
      <c r="D23" s="66"/>
      <c r="E23" s="66"/>
      <c r="I23" s="38"/>
    </row>
    <row r="24" spans="1:9" ht="15" thickBot="1" x14ac:dyDescent="0.4">
      <c r="A24" s="65"/>
      <c r="B24" s="66"/>
      <c r="C24" s="66"/>
      <c r="D24" s="66"/>
      <c r="E24" s="66"/>
      <c r="I24" s="38"/>
    </row>
    <row r="25" spans="1:9" ht="30" customHeight="1" thickTop="1" x14ac:dyDescent="0.4">
      <c r="A25" s="310" t="s">
        <v>18</v>
      </c>
      <c r="B25" s="311"/>
      <c r="C25" s="53">
        <v>60</v>
      </c>
      <c r="E25" s="41"/>
      <c r="F25" s="42"/>
      <c r="G25" s="39"/>
      <c r="H25" s="39"/>
      <c r="I25" s="20"/>
    </row>
    <row r="26" spans="1:9" ht="30" customHeight="1" x14ac:dyDescent="0.4">
      <c r="A26" s="312" t="s">
        <v>19</v>
      </c>
      <c r="B26" s="313"/>
      <c r="C26" s="55"/>
      <c r="D26" s="90"/>
      <c r="E26" s="43"/>
      <c r="F26" s="44"/>
      <c r="G26" s="39"/>
      <c r="H26" s="39"/>
      <c r="I26" s="20"/>
    </row>
    <row r="27" spans="1:9" ht="30" customHeight="1" x14ac:dyDescent="0.4">
      <c r="A27" s="312" t="s">
        <v>20</v>
      </c>
      <c r="B27" s="313"/>
      <c r="C27" s="55"/>
      <c r="D27" s="91"/>
      <c r="E27" s="43"/>
      <c r="F27" s="44"/>
      <c r="G27" s="39"/>
      <c r="H27" s="39"/>
      <c r="I27" s="20"/>
    </row>
    <row r="28" spans="1:9" ht="30" customHeight="1" thickBot="1" x14ac:dyDescent="0.45">
      <c r="A28" s="320" t="s">
        <v>21</v>
      </c>
      <c r="B28" s="321"/>
      <c r="C28" s="56"/>
      <c r="D28" s="91"/>
      <c r="E28" s="43"/>
      <c r="F28" s="44"/>
      <c r="G28" s="39"/>
      <c r="H28" s="39"/>
      <c r="I28" s="20"/>
    </row>
    <row r="29" spans="1:9" ht="30" customHeight="1" thickTop="1" thickBot="1" x14ac:dyDescent="0.45">
      <c r="A29" s="316" t="s">
        <v>20</v>
      </c>
      <c r="B29" s="317"/>
      <c r="C29" s="57">
        <f>C28+C27</f>
        <v>0</v>
      </c>
      <c r="D29" s="91"/>
      <c r="E29" s="43"/>
      <c r="F29" s="42"/>
      <c r="G29" s="39"/>
      <c r="H29" s="39"/>
      <c r="I29" s="20"/>
    </row>
    <row r="30" spans="1:9" ht="21.5" thickTop="1" thickBot="1" x14ac:dyDescent="0.5">
      <c r="A30" s="88"/>
      <c r="B30" s="89"/>
      <c r="C30" s="89"/>
      <c r="D30" s="89"/>
      <c r="E30" s="89"/>
      <c r="F30" s="45"/>
      <c r="G30" s="45"/>
      <c r="H30" s="45"/>
      <c r="I30" s="22"/>
    </row>
    <row r="31" spans="1:9" ht="18.5" thickTop="1" x14ac:dyDescent="0.4">
      <c r="A31" s="284" t="s">
        <v>22</v>
      </c>
      <c r="B31" s="285"/>
      <c r="C31" s="285"/>
      <c r="D31" s="285"/>
      <c r="E31" s="285"/>
      <c r="F31" s="285"/>
      <c r="G31" s="285"/>
      <c r="H31" s="285"/>
      <c r="I31" s="286"/>
    </row>
    <row r="32" spans="1:9" ht="20.5" thickBot="1" x14ac:dyDescent="0.65">
      <c r="A32" s="274" t="s">
        <v>23</v>
      </c>
      <c r="B32" s="275"/>
      <c r="C32" s="46"/>
      <c r="D32" s="282"/>
      <c r="E32" s="282"/>
      <c r="F32" s="47"/>
      <c r="G32" s="48" t="s">
        <v>24</v>
      </c>
      <c r="H32" s="287">
        <v>45688</v>
      </c>
      <c r="I32" s="288"/>
    </row>
    <row r="33" spans="1:9" ht="21" thickTop="1" thickBot="1" x14ac:dyDescent="0.65">
      <c r="A33" s="274" t="s">
        <v>25</v>
      </c>
      <c r="B33" s="275"/>
      <c r="C33" s="46"/>
      <c r="D33" s="289" t="s">
        <v>26</v>
      </c>
      <c r="E33" s="290"/>
      <c r="F33" s="290"/>
      <c r="G33" s="290"/>
      <c r="H33" s="290"/>
      <c r="I33" s="20"/>
    </row>
    <row r="34" spans="1:9" ht="18.5" thickTop="1" x14ac:dyDescent="0.4">
      <c r="A34" s="279" t="s">
        <v>27</v>
      </c>
      <c r="B34" s="280"/>
      <c r="C34" s="280"/>
      <c r="D34" s="280"/>
      <c r="E34" s="280"/>
      <c r="F34" s="47"/>
      <c r="G34" s="280" t="s">
        <v>28</v>
      </c>
      <c r="H34" s="280"/>
      <c r="I34" s="281"/>
    </row>
    <row r="35" spans="1:9" ht="18.5" thickBot="1" x14ac:dyDescent="0.45">
      <c r="A35" s="279" t="s">
        <v>29</v>
      </c>
      <c r="B35" s="280"/>
      <c r="C35" s="280"/>
      <c r="D35" s="280"/>
      <c r="E35" s="48" t="s">
        <v>30</v>
      </c>
      <c r="F35" s="48"/>
      <c r="G35" s="282"/>
      <c r="H35" s="282"/>
      <c r="I35" s="23"/>
    </row>
    <row r="36" spans="1:9" ht="19" thickTop="1" thickBot="1" x14ac:dyDescent="0.45">
      <c r="A36" s="274" t="s">
        <v>30</v>
      </c>
      <c r="B36" s="275"/>
      <c r="C36" s="46"/>
      <c r="D36" s="24"/>
      <c r="E36" s="48" t="s">
        <v>31</v>
      </c>
      <c r="F36" s="48"/>
      <c r="G36" s="283"/>
      <c r="H36" s="283"/>
      <c r="I36" s="20"/>
    </row>
    <row r="37" spans="1:9" ht="19" thickTop="1" thickBot="1" x14ac:dyDescent="0.45">
      <c r="A37" s="274" t="s">
        <v>23</v>
      </c>
      <c r="B37" s="275"/>
      <c r="C37" s="46"/>
      <c r="D37" s="24"/>
      <c r="E37" s="48" t="s">
        <v>23</v>
      </c>
      <c r="F37" s="48"/>
      <c r="G37" s="24"/>
      <c r="H37" s="48" t="s">
        <v>0</v>
      </c>
      <c r="I37" s="25"/>
    </row>
    <row r="38" spans="1:9" ht="19" thickTop="1" thickBot="1" x14ac:dyDescent="0.45">
      <c r="A38" s="276" t="s">
        <v>32</v>
      </c>
      <c r="B38" s="277"/>
      <c r="C38" s="277"/>
      <c r="D38" s="277"/>
      <c r="E38" s="277"/>
      <c r="F38" s="277"/>
      <c r="G38" s="277"/>
      <c r="H38" s="277"/>
      <c r="I38" s="278"/>
    </row>
    <row r="39" spans="1:9" ht="14.5" thickTop="1" x14ac:dyDescent="0.3"/>
  </sheetData>
  <mergeCells count="26">
    <mergeCell ref="A33:B33"/>
    <mergeCell ref="D33:H33"/>
    <mergeCell ref="A37:B37"/>
    <mergeCell ref="A38:I38"/>
    <mergeCell ref="A34:E34"/>
    <mergeCell ref="G34:I34"/>
    <mergeCell ref="A35:D35"/>
    <mergeCell ref="G35:H35"/>
    <mergeCell ref="A36:B36"/>
    <mergeCell ref="G36:H36"/>
    <mergeCell ref="A28:B28"/>
    <mergeCell ref="A29:B29"/>
    <mergeCell ref="A31:I31"/>
    <mergeCell ref="A32:B32"/>
    <mergeCell ref="D32:E32"/>
    <mergeCell ref="H32:I32"/>
    <mergeCell ref="A2:E2"/>
    <mergeCell ref="A4:E4"/>
    <mergeCell ref="A25:B25"/>
    <mergeCell ref="A26:B26"/>
    <mergeCell ref="A27:B27"/>
    <mergeCell ref="C5:D5"/>
    <mergeCell ref="C6:D7"/>
    <mergeCell ref="E11:E19"/>
    <mergeCell ref="E20:E21"/>
    <mergeCell ref="A22:B22"/>
  </mergeCells>
  <pageMargins left="0.7" right="0.7" top="0.75" bottom="0.75" header="0.3" footer="0.3"/>
  <pageSetup paperSize="9" scale="4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8"/>
  <sheetViews>
    <sheetView rightToLeft="1" topLeftCell="A19" zoomScaleNormal="100" workbookViewId="0">
      <selection activeCell="D31" sqref="D31"/>
    </sheetView>
  </sheetViews>
  <sheetFormatPr defaultRowHeight="14" x14ac:dyDescent="0.3"/>
  <cols>
    <col min="1" max="1" width="25.58203125" customWidth="1"/>
    <col min="2" max="3" width="20.58203125" customWidth="1"/>
    <col min="4" max="4" width="15.58203125" customWidth="1"/>
    <col min="5" max="5" width="48" customWidth="1"/>
  </cols>
  <sheetData>
    <row r="1" spans="1:11" ht="13.75" customHeight="1" thickBot="1" x14ac:dyDescent="0.35"/>
    <row r="2" spans="1:11" ht="35.15" customHeight="1" thickTop="1" thickBot="1" x14ac:dyDescent="0.6">
      <c r="A2" s="293" t="s">
        <v>2</v>
      </c>
      <c r="B2" s="294"/>
      <c r="C2" s="294"/>
      <c r="D2" s="294"/>
      <c r="E2" s="295"/>
      <c r="F2" s="34"/>
      <c r="G2" s="34"/>
      <c r="H2" s="35"/>
      <c r="I2" s="36"/>
    </row>
    <row r="3" spans="1:11" ht="13.75" customHeight="1" thickTop="1" thickBot="1" x14ac:dyDescent="0.35">
      <c r="A3" s="1"/>
      <c r="B3" s="37"/>
      <c r="C3" s="37"/>
      <c r="D3" s="37"/>
      <c r="E3" s="37"/>
      <c r="I3" s="38"/>
    </row>
    <row r="4" spans="1:11" ht="35.15" customHeight="1" thickTop="1" thickBot="1" x14ac:dyDescent="0.35">
      <c r="A4" s="296" t="s">
        <v>38</v>
      </c>
      <c r="B4" s="297"/>
      <c r="C4" s="297"/>
      <c r="D4" s="297"/>
      <c r="E4" s="298"/>
      <c r="I4" s="38"/>
    </row>
    <row r="5" spans="1:11" ht="50.15" customHeight="1" thickTop="1" thickBot="1" x14ac:dyDescent="0.35">
      <c r="A5" s="16" t="s">
        <v>3</v>
      </c>
      <c r="B5" s="17" t="s">
        <v>15</v>
      </c>
      <c r="C5" s="322" t="s">
        <v>13</v>
      </c>
      <c r="D5" s="323"/>
      <c r="E5" s="18" t="s">
        <v>14</v>
      </c>
      <c r="I5" s="38"/>
    </row>
    <row r="6" spans="1:11" ht="30" customHeight="1" thickTop="1" thickBot="1" x14ac:dyDescent="0.35">
      <c r="A6" s="15" t="s">
        <v>42</v>
      </c>
      <c r="B6" s="15" t="s">
        <v>33</v>
      </c>
      <c r="C6" s="324">
        <v>45689</v>
      </c>
      <c r="D6" s="325"/>
      <c r="E6" s="15" t="s">
        <v>2</v>
      </c>
      <c r="I6" s="38"/>
    </row>
    <row r="7" spans="1:11" ht="30" customHeight="1" thickTop="1" thickBot="1" x14ac:dyDescent="0.35">
      <c r="A7" s="15" t="s">
        <v>4</v>
      </c>
      <c r="B7" s="15" t="s">
        <v>5</v>
      </c>
      <c r="C7" s="326"/>
      <c r="D7" s="327"/>
      <c r="E7" s="19" t="s">
        <v>39</v>
      </c>
      <c r="I7" s="38"/>
    </row>
    <row r="8" spans="1:11" ht="13.75" customHeight="1" thickTop="1" x14ac:dyDescent="0.35">
      <c r="A8" s="2"/>
      <c r="B8" s="39"/>
      <c r="C8" s="39"/>
      <c r="D8" s="39"/>
      <c r="E8" s="39"/>
      <c r="I8" s="38"/>
    </row>
    <row r="9" spans="1:11" ht="13.75" customHeight="1" thickBot="1" x14ac:dyDescent="0.35">
      <c r="A9" s="40"/>
      <c r="I9" s="38"/>
    </row>
    <row r="10" spans="1:11" ht="35.15" customHeight="1" thickBot="1" x14ac:dyDescent="0.35">
      <c r="A10" s="100" t="s">
        <v>0</v>
      </c>
      <c r="B10" s="101" t="s">
        <v>6</v>
      </c>
      <c r="C10" s="102" t="s">
        <v>9</v>
      </c>
      <c r="D10" s="103" t="s">
        <v>35</v>
      </c>
      <c r="E10" s="104" t="s">
        <v>10</v>
      </c>
      <c r="I10" s="38"/>
      <c r="K10" t="s">
        <v>51</v>
      </c>
    </row>
    <row r="11" spans="1:11" ht="20.149999999999999" customHeight="1" thickTop="1" x14ac:dyDescent="0.3">
      <c r="A11" s="339">
        <v>45691</v>
      </c>
      <c r="B11" s="341" t="s">
        <v>34</v>
      </c>
      <c r="C11" s="12">
        <v>2</v>
      </c>
      <c r="D11" s="12" t="s">
        <v>36</v>
      </c>
      <c r="E11" s="96" t="s">
        <v>88</v>
      </c>
      <c r="I11" s="38"/>
    </row>
    <row r="12" spans="1:11" ht="20.149999999999999" customHeight="1" thickBot="1" x14ac:dyDescent="0.35">
      <c r="A12" s="340"/>
      <c r="B12" s="342"/>
      <c r="C12" s="6">
        <v>3</v>
      </c>
      <c r="D12" s="8" t="s">
        <v>36</v>
      </c>
      <c r="E12" s="97" t="s">
        <v>76</v>
      </c>
      <c r="I12" s="38"/>
    </row>
    <row r="13" spans="1:11" ht="35.15" customHeight="1" thickTop="1" thickBot="1" x14ac:dyDescent="0.35">
      <c r="A13" s="49">
        <v>45694</v>
      </c>
      <c r="B13" s="50" t="s">
        <v>34</v>
      </c>
      <c r="C13" s="50">
        <v>3</v>
      </c>
      <c r="D13" s="50" t="s">
        <v>37</v>
      </c>
      <c r="E13" s="51" t="s">
        <v>79</v>
      </c>
      <c r="I13" s="38"/>
    </row>
    <row r="14" spans="1:11" ht="20.149999999999999" customHeight="1" thickTop="1" thickBot="1" x14ac:dyDescent="0.35">
      <c r="A14" s="5">
        <v>45698</v>
      </c>
      <c r="B14" s="6" t="s">
        <v>34</v>
      </c>
      <c r="C14" s="6">
        <v>8</v>
      </c>
      <c r="D14" s="6" t="s">
        <v>36</v>
      </c>
      <c r="E14" s="97" t="s">
        <v>46</v>
      </c>
      <c r="I14" s="38"/>
    </row>
    <row r="15" spans="1:11" ht="35.15" customHeight="1" thickTop="1" x14ac:dyDescent="0.3">
      <c r="A15" s="339">
        <v>45699</v>
      </c>
      <c r="B15" s="12" t="s">
        <v>40</v>
      </c>
      <c r="C15" s="12">
        <v>2</v>
      </c>
      <c r="D15" s="12" t="s">
        <v>37</v>
      </c>
      <c r="E15" s="96" t="s">
        <v>50</v>
      </c>
      <c r="I15" s="38"/>
    </row>
    <row r="16" spans="1:11" ht="35.15" customHeight="1" thickBot="1" x14ac:dyDescent="0.35">
      <c r="A16" s="340"/>
      <c r="B16" s="10" t="s">
        <v>40</v>
      </c>
      <c r="C16" s="10">
        <v>4</v>
      </c>
      <c r="D16" s="10" t="s">
        <v>37</v>
      </c>
      <c r="E16" s="52" t="s">
        <v>47</v>
      </c>
      <c r="I16" s="38"/>
    </row>
    <row r="17" spans="1:9" ht="35.15" customHeight="1" thickTop="1" thickBot="1" x14ac:dyDescent="0.35">
      <c r="A17" s="49">
        <v>45700</v>
      </c>
      <c r="B17" s="50" t="s">
        <v>7</v>
      </c>
      <c r="C17" s="50">
        <v>3</v>
      </c>
      <c r="D17" s="50" t="s">
        <v>37</v>
      </c>
      <c r="E17" s="51" t="s">
        <v>78</v>
      </c>
      <c r="I17" s="38"/>
    </row>
    <row r="18" spans="1:9" ht="35.15" customHeight="1" thickTop="1" x14ac:dyDescent="0.3">
      <c r="A18" s="339">
        <v>45701</v>
      </c>
      <c r="B18" s="341" t="s">
        <v>8</v>
      </c>
      <c r="C18" s="12">
        <v>2</v>
      </c>
      <c r="D18" s="341" t="s">
        <v>37</v>
      </c>
      <c r="E18" s="96" t="s">
        <v>80</v>
      </c>
      <c r="I18" s="38"/>
    </row>
    <row r="19" spans="1:9" ht="35.15" customHeight="1" x14ac:dyDescent="0.3">
      <c r="A19" s="350"/>
      <c r="B19" s="343"/>
      <c r="C19" s="8">
        <v>8</v>
      </c>
      <c r="D19" s="343"/>
      <c r="E19" s="99" t="s">
        <v>81</v>
      </c>
      <c r="I19" s="38"/>
    </row>
    <row r="20" spans="1:9" ht="20.149999999999999" customHeight="1" x14ac:dyDescent="0.3">
      <c r="A20" s="349">
        <v>45704</v>
      </c>
      <c r="B20" s="351" t="s">
        <v>17</v>
      </c>
      <c r="C20" s="4">
        <v>1</v>
      </c>
      <c r="D20" s="4" t="s">
        <v>36</v>
      </c>
      <c r="E20" s="97" t="s">
        <v>48</v>
      </c>
      <c r="I20" s="38"/>
    </row>
    <row r="21" spans="1:9" ht="20.149999999999999" customHeight="1" x14ac:dyDescent="0.3">
      <c r="A21" s="349"/>
      <c r="B21" s="351"/>
      <c r="C21" s="6">
        <v>4</v>
      </c>
      <c r="D21" s="6" t="s">
        <v>36</v>
      </c>
      <c r="E21" s="336" t="s">
        <v>82</v>
      </c>
      <c r="I21" s="38"/>
    </row>
    <row r="22" spans="1:9" ht="20.149999999999999" customHeight="1" x14ac:dyDescent="0.3">
      <c r="A22" s="350"/>
      <c r="B22" s="343"/>
      <c r="C22" s="4">
        <v>4</v>
      </c>
      <c r="D22" s="4" t="s">
        <v>37</v>
      </c>
      <c r="E22" s="337"/>
      <c r="I22" s="38"/>
    </row>
    <row r="23" spans="1:9" ht="20.149999999999999" customHeight="1" x14ac:dyDescent="0.3">
      <c r="A23" s="3">
        <v>45705</v>
      </c>
      <c r="B23" s="4" t="s">
        <v>34</v>
      </c>
      <c r="C23" s="4">
        <v>8</v>
      </c>
      <c r="D23" s="4" t="s">
        <v>37</v>
      </c>
      <c r="E23" s="337"/>
      <c r="I23" s="38"/>
    </row>
    <row r="24" spans="1:9" ht="20.149999999999999" customHeight="1" x14ac:dyDescent="0.3">
      <c r="A24" s="7">
        <v>45706</v>
      </c>
      <c r="B24" s="8" t="s">
        <v>40</v>
      </c>
      <c r="C24" s="8">
        <v>8</v>
      </c>
      <c r="D24" s="8" t="s">
        <v>37</v>
      </c>
      <c r="E24" s="337"/>
      <c r="I24" s="38"/>
    </row>
    <row r="25" spans="1:9" ht="20.149999999999999" customHeight="1" thickBot="1" x14ac:dyDescent="0.35">
      <c r="A25" s="27">
        <v>45707</v>
      </c>
      <c r="B25" s="28" t="s">
        <v>7</v>
      </c>
      <c r="C25" s="28">
        <v>6</v>
      </c>
      <c r="D25" s="28" t="s">
        <v>37</v>
      </c>
      <c r="E25" s="338"/>
      <c r="I25" s="38"/>
    </row>
    <row r="26" spans="1:9" ht="30" customHeight="1" thickTop="1" x14ac:dyDescent="0.3">
      <c r="A26" s="11">
        <v>45708</v>
      </c>
      <c r="B26" s="12" t="s">
        <v>8</v>
      </c>
      <c r="C26" s="12">
        <v>10</v>
      </c>
      <c r="D26" s="12" t="s">
        <v>37</v>
      </c>
      <c r="E26" s="352" t="s">
        <v>41</v>
      </c>
      <c r="I26" s="38"/>
    </row>
    <row r="27" spans="1:9" ht="30" customHeight="1" thickBot="1" x14ac:dyDescent="0.35">
      <c r="A27" s="9">
        <v>45711</v>
      </c>
      <c r="B27" s="10" t="s">
        <v>17</v>
      </c>
      <c r="C27" s="10">
        <v>10</v>
      </c>
      <c r="D27" s="10" t="s">
        <v>37</v>
      </c>
      <c r="E27" s="338"/>
      <c r="I27" s="38"/>
    </row>
    <row r="28" spans="1:9" ht="30" customHeight="1" thickTop="1" thickBot="1" x14ac:dyDescent="0.35">
      <c r="A28" s="11">
        <v>45713</v>
      </c>
      <c r="B28" s="12" t="s">
        <v>8</v>
      </c>
      <c r="C28" s="12">
        <v>3</v>
      </c>
      <c r="D28" s="12" t="s">
        <v>37</v>
      </c>
      <c r="E28" s="51" t="s">
        <v>74</v>
      </c>
      <c r="I28" s="38"/>
    </row>
    <row r="29" spans="1:9" ht="37" customHeight="1" thickTop="1" thickBot="1" x14ac:dyDescent="0.35">
      <c r="A29" s="9">
        <v>45714</v>
      </c>
      <c r="B29" s="10" t="s">
        <v>17</v>
      </c>
      <c r="C29" s="10">
        <v>6</v>
      </c>
      <c r="D29" s="10" t="s">
        <v>37</v>
      </c>
      <c r="E29" s="98" t="s">
        <v>77</v>
      </c>
      <c r="I29" s="38"/>
    </row>
    <row r="30" spans="1:9" ht="30" customHeight="1" thickTop="1" thickBot="1" x14ac:dyDescent="0.35">
      <c r="A30" s="9">
        <v>45715</v>
      </c>
      <c r="B30" s="10" t="s">
        <v>49</v>
      </c>
      <c r="C30" s="10">
        <v>2</v>
      </c>
      <c r="D30" s="10" t="s">
        <v>37</v>
      </c>
      <c r="E30" s="51" t="s">
        <v>75</v>
      </c>
      <c r="I30" s="38"/>
    </row>
    <row r="31" spans="1:9" ht="35.15" customHeight="1" thickTop="1" thickBot="1" x14ac:dyDescent="0.55000000000000004">
      <c r="A31" s="347" t="s">
        <v>1</v>
      </c>
      <c r="B31" s="348"/>
      <c r="C31" s="13">
        <f>SUM(C11:C30)</f>
        <v>97</v>
      </c>
      <c r="D31" s="13">
        <f>+'ינואר 2025'!E22</f>
        <v>1714</v>
      </c>
      <c r="E31" s="14">
        <f>D31-C31</f>
        <v>1617</v>
      </c>
      <c r="I31" s="38"/>
    </row>
    <row r="32" spans="1:9" ht="13.75" customHeight="1" thickTop="1" x14ac:dyDescent="0.3">
      <c r="A32" s="40"/>
      <c r="I32" s="38"/>
    </row>
    <row r="33" spans="1:9" ht="13.75" customHeight="1" thickBot="1" x14ac:dyDescent="0.35">
      <c r="A33" s="40"/>
      <c r="I33" s="38"/>
    </row>
    <row r="34" spans="1:9" ht="30" customHeight="1" thickTop="1" x14ac:dyDescent="0.4">
      <c r="A34" s="328" t="s">
        <v>18</v>
      </c>
      <c r="B34" s="329"/>
      <c r="C34" s="30"/>
      <c r="D34" s="53">
        <v>97</v>
      </c>
      <c r="E34" s="41"/>
      <c r="F34" s="42"/>
      <c r="G34" s="39"/>
      <c r="H34" s="39"/>
      <c r="I34" s="20"/>
    </row>
    <row r="35" spans="1:9" ht="30" customHeight="1" x14ac:dyDescent="0.4">
      <c r="A35" s="330" t="s">
        <v>19</v>
      </c>
      <c r="B35" s="331"/>
      <c r="C35" s="31"/>
      <c r="D35" s="26"/>
      <c r="E35" s="43"/>
      <c r="F35" s="44"/>
      <c r="G35" s="39"/>
      <c r="H35" s="39"/>
      <c r="I35" s="20"/>
    </row>
    <row r="36" spans="1:9" ht="30" customHeight="1" x14ac:dyDescent="0.4">
      <c r="A36" s="330" t="s">
        <v>20</v>
      </c>
      <c r="B36" s="331"/>
      <c r="C36" s="31"/>
      <c r="D36" s="26"/>
      <c r="E36" s="43"/>
      <c r="F36" s="44"/>
      <c r="G36" s="39"/>
      <c r="H36" s="39"/>
      <c r="I36" s="20"/>
    </row>
    <row r="37" spans="1:9" ht="30" customHeight="1" thickBot="1" x14ac:dyDescent="0.45">
      <c r="A37" s="332" t="s">
        <v>21</v>
      </c>
      <c r="B37" s="333"/>
      <c r="C37" s="32"/>
      <c r="D37" s="29"/>
      <c r="E37" s="43"/>
      <c r="F37" s="44"/>
      <c r="G37" s="39"/>
      <c r="H37" s="39"/>
      <c r="I37" s="20"/>
    </row>
    <row r="38" spans="1:9" ht="30" customHeight="1" thickTop="1" thickBot="1" x14ac:dyDescent="0.45">
      <c r="A38" s="334" t="s">
        <v>20</v>
      </c>
      <c r="B38" s="335"/>
      <c r="C38" s="33"/>
      <c r="D38" s="54">
        <f>D37+D36</f>
        <v>0</v>
      </c>
      <c r="E38" s="43"/>
      <c r="F38" s="42"/>
      <c r="G38" s="39"/>
      <c r="H38" s="39"/>
      <c r="I38" s="20"/>
    </row>
    <row r="39" spans="1:9" ht="13.75" customHeight="1" thickTop="1" thickBot="1" x14ac:dyDescent="0.45">
      <c r="A39" s="21"/>
      <c r="B39" s="45"/>
      <c r="C39" s="45"/>
      <c r="D39" s="45"/>
      <c r="E39" s="45"/>
      <c r="F39" s="45"/>
      <c r="G39" s="45"/>
      <c r="H39" s="45"/>
      <c r="I39" s="22"/>
    </row>
    <row r="40" spans="1:9" ht="13.75" customHeight="1" thickTop="1" thickBot="1" x14ac:dyDescent="0.45">
      <c r="A40" s="284" t="s">
        <v>22</v>
      </c>
      <c r="B40" s="285"/>
      <c r="C40" s="285"/>
      <c r="D40" s="285"/>
      <c r="E40" s="285"/>
      <c r="F40" s="285"/>
      <c r="G40" s="285"/>
      <c r="H40" s="285"/>
      <c r="I40" s="286"/>
    </row>
    <row r="41" spans="1:9" ht="25" customHeight="1" thickTop="1" thickBot="1" x14ac:dyDescent="0.65">
      <c r="A41" s="344" t="s">
        <v>23</v>
      </c>
      <c r="B41" s="345"/>
      <c r="C41" s="105"/>
      <c r="D41" s="106"/>
      <c r="E41" s="107"/>
      <c r="F41" s="47"/>
      <c r="G41" s="48" t="s">
        <v>24</v>
      </c>
      <c r="H41" s="287">
        <v>45688</v>
      </c>
      <c r="I41" s="346"/>
    </row>
    <row r="42" spans="1:9" ht="20.149999999999999" customHeight="1" thickTop="1" thickBot="1" x14ac:dyDescent="0.65">
      <c r="A42" s="274" t="s">
        <v>25</v>
      </c>
      <c r="B42" s="275"/>
      <c r="C42" s="46"/>
      <c r="D42" s="289" t="s">
        <v>26</v>
      </c>
      <c r="E42" s="289"/>
      <c r="F42" s="289"/>
      <c r="G42" s="289"/>
      <c r="H42" s="289"/>
      <c r="I42" s="20"/>
    </row>
    <row r="43" spans="1:9" ht="13.75" customHeight="1" thickTop="1" x14ac:dyDescent="0.4">
      <c r="A43" s="279" t="s">
        <v>27</v>
      </c>
      <c r="B43" s="280"/>
      <c r="C43" s="280"/>
      <c r="D43" s="280"/>
      <c r="E43" s="280"/>
      <c r="F43" s="47"/>
      <c r="G43" s="280" t="s">
        <v>28</v>
      </c>
      <c r="H43" s="280"/>
      <c r="I43" s="281"/>
    </row>
    <row r="44" spans="1:9" ht="13.75" customHeight="1" thickBot="1" x14ac:dyDescent="0.45">
      <c r="A44" s="279" t="s">
        <v>29</v>
      </c>
      <c r="B44" s="280"/>
      <c r="C44" s="280"/>
      <c r="D44" s="280"/>
      <c r="E44" s="48" t="s">
        <v>30</v>
      </c>
      <c r="F44" s="48"/>
      <c r="G44" s="282"/>
      <c r="H44" s="282"/>
      <c r="I44" s="23"/>
    </row>
    <row r="45" spans="1:9" ht="13.75" customHeight="1" thickTop="1" thickBot="1" x14ac:dyDescent="0.45">
      <c r="A45" s="274" t="s">
        <v>30</v>
      </c>
      <c r="B45" s="275"/>
      <c r="C45" s="46"/>
      <c r="D45" s="24"/>
      <c r="E45" s="48" t="s">
        <v>31</v>
      </c>
      <c r="F45" s="48"/>
      <c r="G45" s="283"/>
      <c r="H45" s="283"/>
      <c r="I45" s="20"/>
    </row>
    <row r="46" spans="1:9" ht="13.75" customHeight="1" thickTop="1" thickBot="1" x14ac:dyDescent="0.45">
      <c r="A46" s="274" t="s">
        <v>23</v>
      </c>
      <c r="B46" s="275"/>
      <c r="C46" s="46"/>
      <c r="D46" s="24"/>
      <c r="E46" s="48" t="s">
        <v>23</v>
      </c>
      <c r="F46" s="48"/>
      <c r="G46" s="24"/>
      <c r="H46" s="48" t="s">
        <v>0</v>
      </c>
      <c r="I46" s="25"/>
    </row>
    <row r="47" spans="1:9" ht="20.149999999999999" customHeight="1" thickTop="1" thickBot="1" x14ac:dyDescent="0.45">
      <c r="A47" s="276" t="s">
        <v>52</v>
      </c>
      <c r="B47" s="277"/>
      <c r="C47" s="277"/>
      <c r="D47" s="277"/>
      <c r="E47" s="277"/>
      <c r="F47" s="277"/>
      <c r="G47" s="277"/>
      <c r="H47" s="277"/>
      <c r="I47" s="278"/>
    </row>
    <row r="48" spans="1:9" ht="14.5" customHeight="1" thickTop="1" x14ac:dyDescent="0.3"/>
  </sheetData>
  <mergeCells count="33">
    <mergeCell ref="A2:E2"/>
    <mergeCell ref="A4:E4"/>
    <mergeCell ref="A31:B31"/>
    <mergeCell ref="A20:A22"/>
    <mergeCell ref="B20:B22"/>
    <mergeCell ref="E26:E27"/>
    <mergeCell ref="A15:A16"/>
    <mergeCell ref="A18:A19"/>
    <mergeCell ref="D18:D19"/>
    <mergeCell ref="A46:B46"/>
    <mergeCell ref="A47:I47"/>
    <mergeCell ref="A41:B41"/>
    <mergeCell ref="H41:I41"/>
    <mergeCell ref="A42:B42"/>
    <mergeCell ref="D42:H42"/>
    <mergeCell ref="A43:E43"/>
    <mergeCell ref="G43:I43"/>
    <mergeCell ref="A44:D44"/>
    <mergeCell ref="G44:H44"/>
    <mergeCell ref="A45:B45"/>
    <mergeCell ref="G45:H45"/>
    <mergeCell ref="A40:I40"/>
    <mergeCell ref="C5:D5"/>
    <mergeCell ref="C6:D7"/>
    <mergeCell ref="A34:B34"/>
    <mergeCell ref="A35:B35"/>
    <mergeCell ref="A36:B36"/>
    <mergeCell ref="A37:B37"/>
    <mergeCell ref="A38:B38"/>
    <mergeCell ref="E21:E25"/>
    <mergeCell ref="A11:A12"/>
    <mergeCell ref="B11:B12"/>
    <mergeCell ref="B18:B19"/>
  </mergeCells>
  <pageMargins left="0.7" right="0.7" top="0.75" bottom="0.75" header="0.3" footer="0.3"/>
  <pageSetup paperSize="9" scale="48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3"/>
  <sheetViews>
    <sheetView rightToLeft="1" topLeftCell="A16" zoomScaleNormal="100" workbookViewId="0">
      <selection activeCell="E20" sqref="E20"/>
    </sheetView>
  </sheetViews>
  <sheetFormatPr defaultRowHeight="14" x14ac:dyDescent="0.3"/>
  <cols>
    <col min="1" max="1" width="25.58203125" customWidth="1"/>
    <col min="2" max="3" width="20.58203125" customWidth="1"/>
    <col min="4" max="4" width="15.58203125" customWidth="1"/>
    <col min="5" max="5" width="48" customWidth="1"/>
  </cols>
  <sheetData>
    <row r="1" spans="1:11" ht="13.75" customHeight="1" thickBot="1" x14ac:dyDescent="0.35"/>
    <row r="2" spans="1:11" ht="35.15" customHeight="1" thickTop="1" thickBot="1" x14ac:dyDescent="0.6">
      <c r="A2" s="293" t="s">
        <v>2</v>
      </c>
      <c r="B2" s="294"/>
      <c r="C2" s="294"/>
      <c r="D2" s="294"/>
      <c r="E2" s="295"/>
      <c r="F2" s="34"/>
      <c r="G2" s="34"/>
      <c r="H2" s="35"/>
      <c r="I2" s="36"/>
    </row>
    <row r="3" spans="1:11" ht="13.75" customHeight="1" thickTop="1" thickBot="1" x14ac:dyDescent="0.35">
      <c r="A3" s="1"/>
      <c r="B3" s="37"/>
      <c r="C3" s="37"/>
      <c r="D3" s="37"/>
      <c r="E3" s="37"/>
      <c r="I3" s="38"/>
    </row>
    <row r="4" spans="1:11" ht="35.15" customHeight="1" thickTop="1" thickBot="1" x14ac:dyDescent="0.35">
      <c r="A4" s="296" t="s">
        <v>54</v>
      </c>
      <c r="B4" s="297"/>
      <c r="C4" s="297"/>
      <c r="D4" s="297"/>
      <c r="E4" s="298"/>
      <c r="I4" s="38"/>
    </row>
    <row r="5" spans="1:11" ht="50.15" customHeight="1" thickTop="1" thickBot="1" x14ac:dyDescent="0.35">
      <c r="A5" s="16" t="s">
        <v>3</v>
      </c>
      <c r="B5" s="17" t="s">
        <v>15</v>
      </c>
      <c r="C5" s="322" t="s">
        <v>13</v>
      </c>
      <c r="D5" s="323"/>
      <c r="E5" s="18" t="s">
        <v>14</v>
      </c>
      <c r="I5" s="38"/>
    </row>
    <row r="6" spans="1:11" ht="30" customHeight="1" thickTop="1" thickBot="1" x14ac:dyDescent="0.35">
      <c r="A6" s="15" t="s">
        <v>42</v>
      </c>
      <c r="B6" s="15" t="s">
        <v>33</v>
      </c>
      <c r="C6" s="324">
        <v>45717</v>
      </c>
      <c r="D6" s="325"/>
      <c r="E6" s="15" t="s">
        <v>2</v>
      </c>
      <c r="I6" s="38"/>
    </row>
    <row r="7" spans="1:11" ht="30" customHeight="1" thickTop="1" thickBot="1" x14ac:dyDescent="0.35">
      <c r="A7" s="15" t="s">
        <v>4</v>
      </c>
      <c r="B7" s="15" t="s">
        <v>5</v>
      </c>
      <c r="C7" s="326"/>
      <c r="D7" s="327"/>
      <c r="E7" s="19" t="s">
        <v>53</v>
      </c>
      <c r="I7" s="38"/>
    </row>
    <row r="8" spans="1:11" ht="13.75" customHeight="1" thickTop="1" x14ac:dyDescent="0.35">
      <c r="A8" s="2"/>
      <c r="B8" s="39"/>
      <c r="C8" s="39"/>
      <c r="D8" s="39"/>
      <c r="E8" s="39"/>
      <c r="I8" s="38"/>
    </row>
    <row r="9" spans="1:11" ht="13.75" customHeight="1" thickBot="1" x14ac:dyDescent="0.35">
      <c r="A9" s="40"/>
      <c r="I9" s="38"/>
    </row>
    <row r="10" spans="1:11" ht="35.15" customHeight="1" thickBot="1" x14ac:dyDescent="0.35">
      <c r="A10" s="100" t="s">
        <v>0</v>
      </c>
      <c r="B10" s="101" t="s">
        <v>6</v>
      </c>
      <c r="C10" s="102" t="s">
        <v>9</v>
      </c>
      <c r="D10" s="103" t="s">
        <v>35</v>
      </c>
      <c r="E10" s="104" t="s">
        <v>10</v>
      </c>
      <c r="I10" s="38"/>
      <c r="K10" t="s">
        <v>51</v>
      </c>
    </row>
    <row r="11" spans="1:11" ht="37" customHeight="1" thickTop="1" x14ac:dyDescent="0.3">
      <c r="A11" s="339">
        <v>45718</v>
      </c>
      <c r="B11" s="341" t="s">
        <v>17</v>
      </c>
      <c r="C11" s="12">
        <v>3</v>
      </c>
      <c r="D11" s="12" t="s">
        <v>36</v>
      </c>
      <c r="E11" s="96" t="s">
        <v>58</v>
      </c>
      <c r="I11" s="38"/>
    </row>
    <row r="12" spans="1:11" ht="37" customHeight="1" thickBot="1" x14ac:dyDescent="0.35">
      <c r="A12" s="340"/>
      <c r="B12" s="342"/>
      <c r="C12" s="10">
        <v>3.5</v>
      </c>
      <c r="D12" s="10" t="s">
        <v>36</v>
      </c>
      <c r="E12" s="108" t="s">
        <v>69</v>
      </c>
      <c r="I12" s="38"/>
    </row>
    <row r="13" spans="1:11" ht="37" customHeight="1" thickTop="1" x14ac:dyDescent="0.3">
      <c r="A13" s="339">
        <v>45719</v>
      </c>
      <c r="B13" s="341" t="s">
        <v>34</v>
      </c>
      <c r="C13" s="12">
        <v>3</v>
      </c>
      <c r="D13" s="12" t="s">
        <v>37</v>
      </c>
      <c r="E13" s="96" t="s">
        <v>70</v>
      </c>
      <c r="I13" s="38"/>
    </row>
    <row r="14" spans="1:11" ht="37" customHeight="1" thickBot="1" x14ac:dyDescent="0.35">
      <c r="A14" s="340"/>
      <c r="B14" s="342"/>
      <c r="C14" s="10">
        <v>3.5</v>
      </c>
      <c r="D14" s="10" t="s">
        <v>37</v>
      </c>
      <c r="E14" s="108" t="s">
        <v>83</v>
      </c>
      <c r="I14" s="38"/>
    </row>
    <row r="15" spans="1:11" ht="37" customHeight="1" thickTop="1" x14ac:dyDescent="0.3">
      <c r="A15" s="339">
        <v>45720</v>
      </c>
      <c r="B15" s="341" t="s">
        <v>40</v>
      </c>
      <c r="C15" s="12">
        <v>5</v>
      </c>
      <c r="D15" s="12" t="s">
        <v>37</v>
      </c>
      <c r="E15" s="96" t="s">
        <v>55</v>
      </c>
      <c r="I15" s="38"/>
    </row>
    <row r="16" spans="1:11" ht="37" customHeight="1" thickBot="1" x14ac:dyDescent="0.35">
      <c r="A16" s="340"/>
      <c r="B16" s="342"/>
      <c r="C16" s="10">
        <v>5</v>
      </c>
      <c r="D16" s="10" t="s">
        <v>36</v>
      </c>
      <c r="E16" s="108" t="s">
        <v>56</v>
      </c>
      <c r="I16" s="38"/>
    </row>
    <row r="17" spans="1:9" ht="37" customHeight="1" thickTop="1" x14ac:dyDescent="0.3">
      <c r="A17" s="349">
        <v>45722</v>
      </c>
      <c r="B17" s="351" t="s">
        <v>8</v>
      </c>
      <c r="C17" s="8">
        <v>5</v>
      </c>
      <c r="D17" s="8" t="s">
        <v>37</v>
      </c>
      <c r="E17" s="97" t="s">
        <v>63</v>
      </c>
      <c r="I17" s="38"/>
    </row>
    <row r="18" spans="1:9" ht="37" customHeight="1" thickBot="1" x14ac:dyDescent="0.35">
      <c r="A18" s="340"/>
      <c r="B18" s="342"/>
      <c r="C18" s="10">
        <v>5</v>
      </c>
      <c r="D18" s="10" t="s">
        <v>37</v>
      </c>
      <c r="E18" s="108" t="s">
        <v>72</v>
      </c>
      <c r="I18" s="38"/>
    </row>
    <row r="19" spans="1:9" ht="37" customHeight="1" thickTop="1" x14ac:dyDescent="0.3">
      <c r="A19" s="339">
        <v>45725</v>
      </c>
      <c r="B19" s="341" t="s">
        <v>17</v>
      </c>
      <c r="C19" s="12">
        <v>3</v>
      </c>
      <c r="D19" s="341" t="s">
        <v>36</v>
      </c>
      <c r="E19" s="96" t="s">
        <v>59</v>
      </c>
      <c r="I19" s="38"/>
    </row>
    <row r="20" spans="1:9" ht="37" customHeight="1" thickBot="1" x14ac:dyDescent="0.35">
      <c r="A20" s="340"/>
      <c r="B20" s="342"/>
      <c r="C20" s="10">
        <v>3</v>
      </c>
      <c r="D20" s="342"/>
      <c r="E20" s="109" t="s">
        <v>57</v>
      </c>
      <c r="I20" s="38"/>
    </row>
    <row r="21" spans="1:9" ht="37" customHeight="1" thickTop="1" thickBot="1" x14ac:dyDescent="0.35">
      <c r="A21" s="5">
        <v>45726</v>
      </c>
      <c r="B21" s="6" t="s">
        <v>34</v>
      </c>
      <c r="C21" s="6">
        <v>2</v>
      </c>
      <c r="D21" s="6" t="s">
        <v>37</v>
      </c>
      <c r="E21" s="52" t="s">
        <v>71</v>
      </c>
      <c r="I21" s="38"/>
    </row>
    <row r="22" spans="1:9" ht="37" customHeight="1" thickTop="1" x14ac:dyDescent="0.3">
      <c r="A22" s="339">
        <v>45728</v>
      </c>
      <c r="B22" s="341" t="s">
        <v>7</v>
      </c>
      <c r="C22" s="12">
        <v>4</v>
      </c>
      <c r="D22" s="12" t="s">
        <v>37</v>
      </c>
      <c r="E22" s="96" t="s">
        <v>64</v>
      </c>
      <c r="I22" s="38"/>
    </row>
    <row r="23" spans="1:9" ht="37" customHeight="1" x14ac:dyDescent="0.3">
      <c r="A23" s="349"/>
      <c r="B23" s="351"/>
      <c r="C23" s="4">
        <v>3</v>
      </c>
      <c r="D23" s="4" t="s">
        <v>37</v>
      </c>
      <c r="E23" s="99" t="s">
        <v>60</v>
      </c>
      <c r="I23" s="38"/>
    </row>
    <row r="24" spans="1:9" ht="37" customHeight="1" thickBot="1" x14ac:dyDescent="0.35">
      <c r="A24" s="340"/>
      <c r="B24" s="342"/>
      <c r="C24" s="10">
        <v>3</v>
      </c>
      <c r="D24" s="10" t="s">
        <v>37</v>
      </c>
      <c r="E24" s="97" t="s">
        <v>73</v>
      </c>
      <c r="I24" s="38"/>
    </row>
    <row r="25" spans="1:9" ht="37" customHeight="1" thickTop="1" thickBot="1" x14ac:dyDescent="0.35">
      <c r="A25" s="49">
        <v>45729</v>
      </c>
      <c r="B25" s="50" t="s">
        <v>8</v>
      </c>
      <c r="C25" s="50">
        <v>7</v>
      </c>
      <c r="D25" s="50" t="s">
        <v>37</v>
      </c>
      <c r="E25" s="51" t="s">
        <v>85</v>
      </c>
      <c r="I25" s="38"/>
    </row>
    <row r="26" spans="1:9" ht="37" customHeight="1" thickTop="1" x14ac:dyDescent="0.3">
      <c r="A26" s="355">
        <v>45732</v>
      </c>
      <c r="B26" s="357" t="s">
        <v>17</v>
      </c>
      <c r="C26" s="12">
        <v>2</v>
      </c>
      <c r="D26" s="12" t="s">
        <v>36</v>
      </c>
      <c r="E26" s="96" t="s">
        <v>87</v>
      </c>
      <c r="I26" s="38"/>
    </row>
    <row r="27" spans="1:9" ht="37" customHeight="1" thickBot="1" x14ac:dyDescent="0.35">
      <c r="A27" s="356"/>
      <c r="B27" s="358"/>
      <c r="C27" s="112">
        <v>5</v>
      </c>
      <c r="D27" s="112" t="s">
        <v>36</v>
      </c>
      <c r="E27" s="108" t="s">
        <v>86</v>
      </c>
      <c r="I27" s="38"/>
    </row>
    <row r="28" spans="1:9" ht="37" customHeight="1" thickTop="1" thickBot="1" x14ac:dyDescent="0.35">
      <c r="A28" s="49">
        <v>45736</v>
      </c>
      <c r="B28" s="50" t="s">
        <v>49</v>
      </c>
      <c r="C28" s="50">
        <v>8</v>
      </c>
      <c r="D28" s="50" t="s">
        <v>37</v>
      </c>
      <c r="E28" s="51" t="s">
        <v>61</v>
      </c>
      <c r="I28" s="38"/>
    </row>
    <row r="29" spans="1:9" ht="37" customHeight="1" thickTop="1" x14ac:dyDescent="0.3">
      <c r="A29" s="339">
        <v>45739</v>
      </c>
      <c r="B29" s="341" t="s">
        <v>17</v>
      </c>
      <c r="C29" s="12">
        <v>3</v>
      </c>
      <c r="D29" s="12" t="s">
        <v>36</v>
      </c>
      <c r="E29" s="111" t="s">
        <v>65</v>
      </c>
      <c r="I29" s="38"/>
    </row>
    <row r="30" spans="1:9" ht="37" customHeight="1" thickBot="1" x14ac:dyDescent="0.35">
      <c r="A30" s="340"/>
      <c r="B30" s="342"/>
      <c r="C30" s="10">
        <v>3</v>
      </c>
      <c r="D30" s="10" t="s">
        <v>36</v>
      </c>
      <c r="E30" s="110" t="s">
        <v>66</v>
      </c>
      <c r="I30" s="38"/>
    </row>
    <row r="31" spans="1:9" ht="37" customHeight="1" thickTop="1" thickBot="1" x14ac:dyDescent="0.35">
      <c r="A31" s="49">
        <v>45741</v>
      </c>
      <c r="B31" s="50" t="s">
        <v>40</v>
      </c>
      <c r="C31" s="50">
        <v>5</v>
      </c>
      <c r="D31" s="50" t="s">
        <v>37</v>
      </c>
      <c r="E31" s="51" t="s">
        <v>62</v>
      </c>
      <c r="I31" s="38"/>
    </row>
    <row r="32" spans="1:9" ht="37" customHeight="1" thickTop="1" thickBot="1" x14ac:dyDescent="0.35">
      <c r="A32" s="339">
        <v>45743</v>
      </c>
      <c r="B32" s="341" t="s">
        <v>8</v>
      </c>
      <c r="C32" s="12">
        <v>5</v>
      </c>
      <c r="D32" s="12" t="s">
        <v>37</v>
      </c>
      <c r="E32" s="51" t="s">
        <v>62</v>
      </c>
      <c r="I32" s="38"/>
    </row>
    <row r="33" spans="1:9" ht="37" customHeight="1" thickTop="1" thickBot="1" x14ac:dyDescent="0.35">
      <c r="A33" s="340"/>
      <c r="B33" s="342"/>
      <c r="C33" s="10">
        <v>2</v>
      </c>
      <c r="D33" s="10" t="s">
        <v>37</v>
      </c>
      <c r="E33" s="108" t="s">
        <v>84</v>
      </c>
      <c r="I33" s="38"/>
    </row>
    <row r="34" spans="1:9" ht="37" customHeight="1" thickTop="1" thickBot="1" x14ac:dyDescent="0.35">
      <c r="A34" s="339">
        <v>45746</v>
      </c>
      <c r="B34" s="341" t="s">
        <v>17</v>
      </c>
      <c r="C34" s="10">
        <v>4</v>
      </c>
      <c r="D34" s="10" t="s">
        <v>36</v>
      </c>
      <c r="E34" s="111" t="s">
        <v>67</v>
      </c>
      <c r="I34" s="38"/>
    </row>
    <row r="35" spans="1:9" ht="37" customHeight="1" thickTop="1" thickBot="1" x14ac:dyDescent="0.35">
      <c r="A35" s="340"/>
      <c r="B35" s="342"/>
      <c r="C35" s="50">
        <v>2</v>
      </c>
      <c r="D35" s="50" t="s">
        <v>36</v>
      </c>
      <c r="E35" s="51" t="s">
        <v>68</v>
      </c>
      <c r="I35" s="38"/>
    </row>
    <row r="36" spans="1:9" ht="35.15" customHeight="1" thickTop="1" thickBot="1" x14ac:dyDescent="0.55000000000000004">
      <c r="A36" s="353" t="s">
        <v>1</v>
      </c>
      <c r="B36" s="354"/>
      <c r="C36" s="13">
        <f>SUM(C11:C35)</f>
        <v>97</v>
      </c>
      <c r="D36" s="13">
        <f>+'פברואר 2025'!E31</f>
        <v>1617</v>
      </c>
      <c r="E36" s="14">
        <f>D36-C36</f>
        <v>1520</v>
      </c>
      <c r="I36" s="38"/>
    </row>
    <row r="37" spans="1:9" ht="13.75" customHeight="1" thickTop="1" x14ac:dyDescent="0.3">
      <c r="A37" s="40"/>
      <c r="I37" s="38"/>
    </row>
    <row r="38" spans="1:9" ht="13.75" customHeight="1" thickBot="1" x14ac:dyDescent="0.35">
      <c r="A38" s="40"/>
      <c r="I38" s="38"/>
    </row>
    <row r="39" spans="1:9" ht="30" customHeight="1" thickTop="1" x14ac:dyDescent="0.4">
      <c r="A39" s="328" t="s">
        <v>18</v>
      </c>
      <c r="B39" s="329"/>
      <c r="C39" s="30"/>
      <c r="D39" s="53">
        <v>97</v>
      </c>
      <c r="E39" s="41"/>
      <c r="F39" s="42"/>
      <c r="G39" s="39"/>
      <c r="H39" s="39"/>
      <c r="I39" s="20"/>
    </row>
    <row r="40" spans="1:9" ht="30" customHeight="1" x14ac:dyDescent="0.4">
      <c r="A40" s="330" t="s">
        <v>19</v>
      </c>
      <c r="B40" s="331"/>
      <c r="C40" s="31"/>
      <c r="D40" s="26"/>
      <c r="E40" s="43"/>
      <c r="F40" s="44"/>
      <c r="G40" s="39"/>
      <c r="H40" s="39"/>
      <c r="I40" s="20"/>
    </row>
    <row r="41" spans="1:9" ht="30" customHeight="1" x14ac:dyDescent="0.4">
      <c r="A41" s="330" t="s">
        <v>20</v>
      </c>
      <c r="B41" s="331"/>
      <c r="C41" s="31"/>
      <c r="D41" s="26"/>
      <c r="E41" s="43"/>
      <c r="F41" s="44"/>
      <c r="G41" s="39"/>
      <c r="H41" s="39"/>
      <c r="I41" s="20"/>
    </row>
    <row r="42" spans="1:9" ht="30" customHeight="1" thickBot="1" x14ac:dyDescent="0.45">
      <c r="A42" s="332" t="s">
        <v>21</v>
      </c>
      <c r="B42" s="333"/>
      <c r="C42" s="32"/>
      <c r="D42" s="29"/>
      <c r="E42" s="43"/>
      <c r="F42" s="44"/>
      <c r="G42" s="39"/>
      <c r="H42" s="39"/>
      <c r="I42" s="20"/>
    </row>
    <row r="43" spans="1:9" ht="30" customHeight="1" thickTop="1" thickBot="1" x14ac:dyDescent="0.45">
      <c r="A43" s="334" t="s">
        <v>20</v>
      </c>
      <c r="B43" s="335"/>
      <c r="C43" s="33"/>
      <c r="D43" s="54">
        <f>D42+D41</f>
        <v>0</v>
      </c>
      <c r="E43" s="43"/>
      <c r="F43" s="42"/>
      <c r="G43" s="39"/>
      <c r="H43" s="39"/>
      <c r="I43" s="20"/>
    </row>
    <row r="44" spans="1:9" ht="13.75" customHeight="1" thickTop="1" thickBot="1" x14ac:dyDescent="0.45">
      <c r="A44" s="21"/>
      <c r="B44" s="45"/>
      <c r="C44" s="45"/>
      <c r="D44" s="45"/>
      <c r="E44" s="45"/>
      <c r="F44" s="45"/>
      <c r="G44" s="45"/>
      <c r="H44" s="45"/>
      <c r="I44" s="22"/>
    </row>
    <row r="45" spans="1:9" ht="25" customHeight="1" thickTop="1" thickBot="1" x14ac:dyDescent="0.45">
      <c r="A45" s="284" t="s">
        <v>22</v>
      </c>
      <c r="B45" s="285"/>
      <c r="C45" s="285"/>
      <c r="D45" s="285"/>
      <c r="E45" s="285"/>
      <c r="F45" s="285"/>
      <c r="G45" s="285"/>
      <c r="H45" s="285"/>
      <c r="I45" s="286"/>
    </row>
    <row r="46" spans="1:9" ht="25" customHeight="1" thickTop="1" thickBot="1" x14ac:dyDescent="0.65">
      <c r="A46" s="344" t="s">
        <v>23</v>
      </c>
      <c r="B46" s="345"/>
      <c r="C46" s="105"/>
      <c r="D46" s="106"/>
      <c r="E46" s="107"/>
      <c r="F46" s="47"/>
      <c r="G46" s="48" t="s">
        <v>24</v>
      </c>
      <c r="H46" s="287">
        <v>45752</v>
      </c>
      <c r="I46" s="346"/>
    </row>
    <row r="47" spans="1:9" ht="25" customHeight="1" thickTop="1" thickBot="1" x14ac:dyDescent="0.65">
      <c r="A47" s="274" t="s">
        <v>25</v>
      </c>
      <c r="B47" s="275"/>
      <c r="C47" s="46"/>
      <c r="D47" s="289" t="s">
        <v>26</v>
      </c>
      <c r="E47" s="289"/>
      <c r="F47" s="289"/>
      <c r="G47" s="289"/>
      <c r="H47" s="289"/>
      <c r="I47" s="20"/>
    </row>
    <row r="48" spans="1:9" ht="25" customHeight="1" thickTop="1" x14ac:dyDescent="0.4">
      <c r="A48" s="279" t="s">
        <v>27</v>
      </c>
      <c r="B48" s="280"/>
      <c r="C48" s="280"/>
      <c r="D48" s="280"/>
      <c r="E48" s="280"/>
      <c r="F48" s="47"/>
      <c r="G48" s="280" t="s">
        <v>28</v>
      </c>
      <c r="H48" s="280"/>
      <c r="I48" s="281"/>
    </row>
    <row r="49" spans="1:9" ht="25" customHeight="1" thickBot="1" x14ac:dyDescent="0.45">
      <c r="A49" s="279" t="s">
        <v>29</v>
      </c>
      <c r="B49" s="280"/>
      <c r="C49" s="280"/>
      <c r="D49" s="280"/>
      <c r="E49" s="48" t="s">
        <v>30</v>
      </c>
      <c r="F49" s="48"/>
      <c r="G49" s="282"/>
      <c r="H49" s="282"/>
      <c r="I49" s="23"/>
    </row>
    <row r="50" spans="1:9" ht="25" customHeight="1" thickTop="1" thickBot="1" x14ac:dyDescent="0.45">
      <c r="A50" s="274" t="s">
        <v>30</v>
      </c>
      <c r="B50" s="275"/>
      <c r="C50" s="46"/>
      <c r="D50" s="24"/>
      <c r="E50" s="48" t="s">
        <v>31</v>
      </c>
      <c r="F50" s="48"/>
      <c r="G50" s="283"/>
      <c r="H50" s="283"/>
      <c r="I50" s="20"/>
    </row>
    <row r="51" spans="1:9" ht="25" customHeight="1" thickTop="1" thickBot="1" x14ac:dyDescent="0.45">
      <c r="A51" s="274" t="s">
        <v>23</v>
      </c>
      <c r="B51" s="275"/>
      <c r="C51" s="46"/>
      <c r="D51" s="24"/>
      <c r="E51" s="48" t="s">
        <v>23</v>
      </c>
      <c r="F51" s="48"/>
      <c r="G51" s="24"/>
      <c r="H51" s="48" t="s">
        <v>0</v>
      </c>
      <c r="I51" s="25"/>
    </row>
    <row r="52" spans="1:9" ht="25" customHeight="1" thickTop="1" thickBot="1" x14ac:dyDescent="0.45">
      <c r="A52" s="276" t="s">
        <v>52</v>
      </c>
      <c r="B52" s="277"/>
      <c r="C52" s="277"/>
      <c r="D52" s="277"/>
      <c r="E52" s="277"/>
      <c r="F52" s="277"/>
      <c r="G52" s="277"/>
      <c r="H52" s="277"/>
      <c r="I52" s="278"/>
    </row>
    <row r="53" spans="1:9" ht="14.5" customHeight="1" thickTop="1" x14ac:dyDescent="0.3"/>
  </sheetData>
  <mergeCells count="44">
    <mergeCell ref="B22:B24"/>
    <mergeCell ref="A22:A24"/>
    <mergeCell ref="A19:A20"/>
    <mergeCell ref="B19:B20"/>
    <mergeCell ref="A26:A27"/>
    <mergeCell ref="B26:B27"/>
    <mergeCell ref="A51:B51"/>
    <mergeCell ref="A52:I52"/>
    <mergeCell ref="A48:E48"/>
    <mergeCell ref="G48:I48"/>
    <mergeCell ref="A49:D49"/>
    <mergeCell ref="G49:H49"/>
    <mergeCell ref="A50:B50"/>
    <mergeCell ref="G50:H50"/>
    <mergeCell ref="A34:A35"/>
    <mergeCell ref="B34:B35"/>
    <mergeCell ref="A29:A30"/>
    <mergeCell ref="B29:B30"/>
    <mergeCell ref="A32:A33"/>
    <mergeCell ref="B32:B33"/>
    <mergeCell ref="A47:B47"/>
    <mergeCell ref="D47:H47"/>
    <mergeCell ref="A36:B36"/>
    <mergeCell ref="A39:B39"/>
    <mergeCell ref="A40:B40"/>
    <mergeCell ref="A41:B41"/>
    <mergeCell ref="A42:B42"/>
    <mergeCell ref="A43:B43"/>
    <mergeCell ref="A45:I45"/>
    <mergeCell ref="A46:B46"/>
    <mergeCell ref="H46:I46"/>
    <mergeCell ref="A2:E2"/>
    <mergeCell ref="A4:E4"/>
    <mergeCell ref="C5:D5"/>
    <mergeCell ref="C6:D7"/>
    <mergeCell ref="D19:D20"/>
    <mergeCell ref="B11:B12"/>
    <mergeCell ref="A11:A12"/>
    <mergeCell ref="A13:A14"/>
    <mergeCell ref="B13:B14"/>
    <mergeCell ref="A15:A16"/>
    <mergeCell ref="B15:B16"/>
    <mergeCell ref="A17:A18"/>
    <mergeCell ref="B17:B18"/>
  </mergeCells>
  <pageMargins left="0.7" right="0.7" top="0.75" bottom="0.75" header="0.3" footer="0.3"/>
  <pageSetup paperSize="9" scale="4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0"/>
  <sheetViews>
    <sheetView rightToLeft="1" topLeftCell="A25" zoomScaleNormal="100" workbookViewId="0">
      <selection activeCell="E33" sqref="E33"/>
    </sheetView>
  </sheetViews>
  <sheetFormatPr defaultRowHeight="14" x14ac:dyDescent="0.3"/>
  <cols>
    <col min="1" max="1" width="25.58203125" customWidth="1"/>
    <col min="2" max="3" width="20.58203125" customWidth="1"/>
    <col min="4" max="4" width="15.58203125" customWidth="1"/>
    <col min="5" max="5" width="53.58203125" customWidth="1"/>
  </cols>
  <sheetData>
    <row r="1" spans="1:11" ht="13.75" customHeight="1" thickBot="1" x14ac:dyDescent="0.35"/>
    <row r="2" spans="1:11" ht="35.15" customHeight="1" thickTop="1" thickBot="1" x14ac:dyDescent="0.6">
      <c r="A2" s="293" t="s">
        <v>2</v>
      </c>
      <c r="B2" s="294"/>
      <c r="C2" s="294"/>
      <c r="D2" s="294"/>
      <c r="E2" s="295"/>
      <c r="F2" s="34"/>
      <c r="G2" s="34"/>
      <c r="H2" s="35"/>
      <c r="I2" s="36"/>
    </row>
    <row r="3" spans="1:11" ht="13.75" customHeight="1" thickTop="1" thickBot="1" x14ac:dyDescent="0.35">
      <c r="A3" s="1"/>
      <c r="B3" s="37"/>
      <c r="C3" s="37"/>
      <c r="D3" s="37"/>
      <c r="E3" s="37"/>
      <c r="I3" s="38"/>
    </row>
    <row r="4" spans="1:11" ht="35.15" customHeight="1" thickTop="1" thickBot="1" x14ac:dyDescent="0.35">
      <c r="A4" s="296" t="s">
        <v>89</v>
      </c>
      <c r="B4" s="297"/>
      <c r="C4" s="297"/>
      <c r="D4" s="297"/>
      <c r="E4" s="298"/>
      <c r="I4" s="38"/>
    </row>
    <row r="5" spans="1:11" ht="50.15" customHeight="1" thickTop="1" thickBot="1" x14ac:dyDescent="0.35">
      <c r="A5" s="16" t="s">
        <v>3</v>
      </c>
      <c r="B5" s="17" t="s">
        <v>15</v>
      </c>
      <c r="C5" s="322" t="s">
        <v>13</v>
      </c>
      <c r="D5" s="323"/>
      <c r="E5" s="18" t="s">
        <v>14</v>
      </c>
      <c r="I5" s="38"/>
    </row>
    <row r="6" spans="1:11" ht="30" customHeight="1" thickTop="1" thickBot="1" x14ac:dyDescent="0.35">
      <c r="A6" s="15" t="s">
        <v>42</v>
      </c>
      <c r="B6" s="15" t="s">
        <v>33</v>
      </c>
      <c r="C6" s="324">
        <v>45748</v>
      </c>
      <c r="D6" s="325"/>
      <c r="E6" s="15" t="s">
        <v>2</v>
      </c>
      <c r="I6" s="38"/>
    </row>
    <row r="7" spans="1:11" ht="30" customHeight="1" thickTop="1" thickBot="1" x14ac:dyDescent="0.35">
      <c r="A7" s="15" t="s">
        <v>4</v>
      </c>
      <c r="B7" s="15" t="s">
        <v>5</v>
      </c>
      <c r="C7" s="326"/>
      <c r="D7" s="327"/>
      <c r="E7" s="19" t="s">
        <v>90</v>
      </c>
      <c r="I7" s="38"/>
    </row>
    <row r="8" spans="1:11" ht="13.75" customHeight="1" thickTop="1" x14ac:dyDescent="0.35">
      <c r="A8" s="2"/>
      <c r="B8" s="39"/>
      <c r="C8" s="39"/>
      <c r="D8" s="39"/>
      <c r="E8" s="39"/>
      <c r="I8" s="38"/>
    </row>
    <row r="9" spans="1:11" ht="13.75" customHeight="1" thickBot="1" x14ac:dyDescent="0.35">
      <c r="A9" s="40"/>
      <c r="I9" s="38"/>
    </row>
    <row r="10" spans="1:11" ht="35.15" customHeight="1" thickBot="1" x14ac:dyDescent="0.35">
      <c r="A10" s="100" t="s">
        <v>0</v>
      </c>
      <c r="B10" s="101" t="s">
        <v>6</v>
      </c>
      <c r="C10" s="102" t="s">
        <v>9</v>
      </c>
      <c r="D10" s="103" t="s">
        <v>35</v>
      </c>
      <c r="E10" s="104" t="s">
        <v>10</v>
      </c>
      <c r="I10" s="38"/>
      <c r="K10" t="s">
        <v>51</v>
      </c>
    </row>
    <row r="11" spans="1:11" ht="37" customHeight="1" thickTop="1" x14ac:dyDescent="0.3">
      <c r="A11" s="339">
        <v>45749</v>
      </c>
      <c r="B11" s="341" t="s">
        <v>7</v>
      </c>
      <c r="C11" s="12">
        <v>3</v>
      </c>
      <c r="D11" s="12" t="s">
        <v>36</v>
      </c>
      <c r="E11" s="114" t="s">
        <v>91</v>
      </c>
      <c r="I11" s="38"/>
    </row>
    <row r="12" spans="1:11" ht="37" customHeight="1" thickBot="1" x14ac:dyDescent="0.35">
      <c r="A12" s="340"/>
      <c r="B12" s="342"/>
      <c r="C12" s="28">
        <v>2</v>
      </c>
      <c r="D12" s="28" t="s">
        <v>36</v>
      </c>
      <c r="E12" s="115" t="s">
        <v>92</v>
      </c>
      <c r="I12" s="38"/>
    </row>
    <row r="13" spans="1:11" ht="37" customHeight="1" thickTop="1" x14ac:dyDescent="0.3">
      <c r="A13" s="355">
        <v>45753</v>
      </c>
      <c r="B13" s="357" t="s">
        <v>17</v>
      </c>
      <c r="C13" s="121">
        <v>3</v>
      </c>
      <c r="D13" s="121" t="s">
        <v>36</v>
      </c>
      <c r="E13" s="114" t="s">
        <v>94</v>
      </c>
      <c r="I13" s="38"/>
    </row>
    <row r="14" spans="1:11" ht="37" customHeight="1" thickBot="1" x14ac:dyDescent="0.45">
      <c r="A14" s="356"/>
      <c r="B14" s="358"/>
      <c r="C14" s="122">
        <v>2</v>
      </c>
      <c r="D14" s="123" t="s">
        <v>36</v>
      </c>
      <c r="E14" s="125" t="s">
        <v>111</v>
      </c>
      <c r="I14" s="38"/>
    </row>
    <row r="15" spans="1:11" ht="37" customHeight="1" thickTop="1" x14ac:dyDescent="0.3">
      <c r="A15" s="339">
        <v>45754</v>
      </c>
      <c r="B15" s="341" t="s">
        <v>34</v>
      </c>
      <c r="C15" s="12">
        <v>3</v>
      </c>
      <c r="D15" s="12" t="s">
        <v>37</v>
      </c>
      <c r="E15" s="114" t="s">
        <v>109</v>
      </c>
      <c r="I15" s="38"/>
    </row>
    <row r="16" spans="1:11" ht="37" customHeight="1" x14ac:dyDescent="0.3">
      <c r="A16" s="349"/>
      <c r="B16" s="351"/>
      <c r="C16" s="8">
        <v>3</v>
      </c>
      <c r="D16" s="8" t="s">
        <v>37</v>
      </c>
      <c r="E16" s="124" t="s">
        <v>93</v>
      </c>
      <c r="I16" s="38"/>
    </row>
    <row r="17" spans="1:9" ht="50.15" customHeight="1" thickBot="1" x14ac:dyDescent="0.35">
      <c r="A17" s="340"/>
      <c r="B17" s="342"/>
      <c r="C17" s="10">
        <v>2</v>
      </c>
      <c r="D17" s="10" t="s">
        <v>37</v>
      </c>
      <c r="E17" s="117" t="s">
        <v>98</v>
      </c>
      <c r="I17" s="38"/>
    </row>
    <row r="18" spans="1:9" ht="35.15" customHeight="1" thickTop="1" x14ac:dyDescent="0.3">
      <c r="A18" s="11">
        <v>45755</v>
      </c>
      <c r="B18" s="12" t="s">
        <v>40</v>
      </c>
      <c r="C18" s="12">
        <v>9</v>
      </c>
      <c r="D18" s="12" t="s">
        <v>37</v>
      </c>
      <c r="E18" s="359" t="s">
        <v>96</v>
      </c>
      <c r="I18" s="38"/>
    </row>
    <row r="19" spans="1:9" ht="60" customHeight="1" thickBot="1" x14ac:dyDescent="0.35">
      <c r="A19" s="5">
        <v>45757</v>
      </c>
      <c r="B19" s="6" t="s">
        <v>8</v>
      </c>
      <c r="C19" s="8">
        <v>10</v>
      </c>
      <c r="D19" s="8" t="s">
        <v>37</v>
      </c>
      <c r="E19" s="360"/>
      <c r="I19" s="38"/>
    </row>
    <row r="20" spans="1:9" ht="37" customHeight="1" thickTop="1" thickBot="1" x14ac:dyDescent="0.35">
      <c r="A20" s="339">
        <v>45768</v>
      </c>
      <c r="B20" s="341" t="s">
        <v>17</v>
      </c>
      <c r="C20" s="12">
        <v>2</v>
      </c>
      <c r="D20" s="12" t="s">
        <v>36</v>
      </c>
      <c r="E20" s="115" t="s">
        <v>95</v>
      </c>
      <c r="I20" s="38"/>
    </row>
    <row r="21" spans="1:9" ht="37" customHeight="1" thickTop="1" thickBot="1" x14ac:dyDescent="0.35">
      <c r="A21" s="340"/>
      <c r="B21" s="342"/>
      <c r="C21" s="10">
        <v>5</v>
      </c>
      <c r="D21" s="10" t="s">
        <v>36</v>
      </c>
      <c r="E21" s="117" t="s">
        <v>99</v>
      </c>
      <c r="I21" s="38"/>
    </row>
    <row r="22" spans="1:9" ht="37" customHeight="1" thickTop="1" x14ac:dyDescent="0.3">
      <c r="A22" s="339">
        <v>45769</v>
      </c>
      <c r="B22" s="341" t="s">
        <v>40</v>
      </c>
      <c r="C22" s="12">
        <v>2</v>
      </c>
      <c r="D22" s="12" t="s">
        <v>37</v>
      </c>
      <c r="E22" s="118" t="s">
        <v>110</v>
      </c>
      <c r="I22" s="38"/>
    </row>
    <row r="23" spans="1:9" ht="45" customHeight="1" thickBot="1" x14ac:dyDescent="0.35">
      <c r="A23" s="340"/>
      <c r="B23" s="342"/>
      <c r="C23" s="6">
        <v>3</v>
      </c>
      <c r="D23" s="10" t="s">
        <v>37</v>
      </c>
      <c r="E23" s="120" t="s">
        <v>97</v>
      </c>
      <c r="I23" s="38"/>
    </row>
    <row r="24" spans="1:9" ht="37" customHeight="1" thickTop="1" x14ac:dyDescent="0.3">
      <c r="A24" s="339">
        <v>45770</v>
      </c>
      <c r="B24" s="341" t="s">
        <v>7</v>
      </c>
      <c r="C24" s="12">
        <v>2</v>
      </c>
      <c r="D24" s="341" t="s">
        <v>37</v>
      </c>
      <c r="E24" s="114" t="s">
        <v>101</v>
      </c>
      <c r="I24" s="38"/>
    </row>
    <row r="25" spans="1:9" ht="37" customHeight="1" thickBot="1" x14ac:dyDescent="0.35">
      <c r="A25" s="349"/>
      <c r="B25" s="351"/>
      <c r="C25" s="4">
        <v>3</v>
      </c>
      <c r="D25" s="351"/>
      <c r="E25" s="124" t="s">
        <v>100</v>
      </c>
      <c r="I25" s="38"/>
    </row>
    <row r="26" spans="1:9" ht="37" customHeight="1" thickTop="1" x14ac:dyDescent="0.3">
      <c r="A26" s="339">
        <v>45771</v>
      </c>
      <c r="B26" s="341" t="s">
        <v>8</v>
      </c>
      <c r="C26" s="12">
        <v>3</v>
      </c>
      <c r="D26" s="12" t="s">
        <v>37</v>
      </c>
      <c r="E26" s="114" t="s">
        <v>107</v>
      </c>
      <c r="I26" s="38"/>
    </row>
    <row r="27" spans="1:9" ht="50.15" customHeight="1" thickBot="1" x14ac:dyDescent="0.35">
      <c r="A27" s="349"/>
      <c r="B27" s="351"/>
      <c r="C27" s="4">
        <v>2</v>
      </c>
      <c r="D27" s="4" t="s">
        <v>37</v>
      </c>
      <c r="E27" s="118" t="s">
        <v>102</v>
      </c>
      <c r="I27" s="38"/>
    </row>
    <row r="28" spans="1:9" ht="30" customHeight="1" thickTop="1" thickBot="1" x14ac:dyDescent="0.35">
      <c r="A28" s="340"/>
      <c r="B28" s="342"/>
      <c r="C28" s="10">
        <v>2</v>
      </c>
      <c r="D28" s="10" t="s">
        <v>37</v>
      </c>
      <c r="E28" s="116" t="s">
        <v>103</v>
      </c>
      <c r="I28" s="38"/>
    </row>
    <row r="29" spans="1:9" ht="37" customHeight="1" thickTop="1" x14ac:dyDescent="0.3">
      <c r="A29" s="339">
        <v>45774</v>
      </c>
      <c r="B29" s="341" t="s">
        <v>17</v>
      </c>
      <c r="C29" s="113">
        <v>1.5</v>
      </c>
      <c r="D29" s="113" t="s">
        <v>37</v>
      </c>
      <c r="E29" s="119" t="s">
        <v>104</v>
      </c>
      <c r="I29" s="38"/>
    </row>
    <row r="30" spans="1:9" ht="37" customHeight="1" x14ac:dyDescent="0.3">
      <c r="A30" s="349"/>
      <c r="B30" s="351"/>
      <c r="C30" s="4">
        <v>3.5</v>
      </c>
      <c r="D30" s="4" t="s">
        <v>37</v>
      </c>
      <c r="E30" s="118" t="s">
        <v>105</v>
      </c>
      <c r="I30" s="38"/>
    </row>
    <row r="31" spans="1:9" ht="37" customHeight="1" thickBot="1" x14ac:dyDescent="0.35">
      <c r="A31" s="340"/>
      <c r="B31" s="342"/>
      <c r="C31" s="10">
        <v>1</v>
      </c>
      <c r="D31" s="10" t="s">
        <v>37</v>
      </c>
      <c r="E31" s="115" t="s">
        <v>108</v>
      </c>
      <c r="I31" s="38"/>
    </row>
    <row r="32" spans="1:9" ht="37" customHeight="1" thickTop="1" thickBot="1" x14ac:dyDescent="0.35">
      <c r="A32" s="49">
        <v>45775</v>
      </c>
      <c r="B32" s="50" t="s">
        <v>34</v>
      </c>
      <c r="C32" s="50">
        <v>6</v>
      </c>
      <c r="D32" s="50" t="s">
        <v>37</v>
      </c>
      <c r="E32" s="116" t="s">
        <v>106</v>
      </c>
      <c r="I32" s="38"/>
    </row>
    <row r="33" spans="1:9" ht="35.15" customHeight="1" thickTop="1" thickBot="1" x14ac:dyDescent="0.55000000000000004">
      <c r="A33" s="353" t="s">
        <v>1</v>
      </c>
      <c r="B33" s="354"/>
      <c r="C33" s="13">
        <f>SUM(C11:C32)</f>
        <v>73</v>
      </c>
      <c r="D33" s="13">
        <f>+'מרץ 2025 '!E36</f>
        <v>1520</v>
      </c>
      <c r="E33" s="14">
        <f>D33-C33</f>
        <v>1447</v>
      </c>
      <c r="I33" s="38"/>
    </row>
    <row r="34" spans="1:9" ht="13.75" customHeight="1" thickTop="1" x14ac:dyDescent="0.3">
      <c r="A34" s="40"/>
      <c r="I34" s="38"/>
    </row>
    <row r="35" spans="1:9" ht="13.75" customHeight="1" thickBot="1" x14ac:dyDescent="0.35">
      <c r="A35" s="40"/>
      <c r="I35" s="38"/>
    </row>
    <row r="36" spans="1:9" ht="30" customHeight="1" thickTop="1" x14ac:dyDescent="0.4">
      <c r="A36" s="328" t="s">
        <v>18</v>
      </c>
      <c r="B36" s="329"/>
      <c r="C36" s="30"/>
      <c r="D36" s="53">
        <v>73</v>
      </c>
      <c r="E36" s="41"/>
      <c r="F36" s="42"/>
      <c r="G36" s="39"/>
      <c r="H36" s="39"/>
      <c r="I36" s="20"/>
    </row>
    <row r="37" spans="1:9" ht="30" customHeight="1" x14ac:dyDescent="0.4">
      <c r="A37" s="330" t="s">
        <v>19</v>
      </c>
      <c r="B37" s="331"/>
      <c r="C37" s="31"/>
      <c r="D37" s="26"/>
      <c r="E37" s="43"/>
      <c r="F37" s="44"/>
      <c r="G37" s="39"/>
      <c r="H37" s="39"/>
      <c r="I37" s="20"/>
    </row>
    <row r="38" spans="1:9" ht="30" customHeight="1" x14ac:dyDescent="0.4">
      <c r="A38" s="330" t="s">
        <v>20</v>
      </c>
      <c r="B38" s="331"/>
      <c r="C38" s="31"/>
      <c r="D38" s="26"/>
      <c r="E38" s="43"/>
      <c r="F38" s="44"/>
      <c r="G38" s="39"/>
      <c r="H38" s="39"/>
      <c r="I38" s="20"/>
    </row>
    <row r="39" spans="1:9" ht="30" customHeight="1" thickBot="1" x14ac:dyDescent="0.45">
      <c r="A39" s="332" t="s">
        <v>21</v>
      </c>
      <c r="B39" s="333"/>
      <c r="C39" s="32"/>
      <c r="D39" s="29"/>
      <c r="E39" s="43"/>
      <c r="F39" s="44"/>
      <c r="G39" s="39"/>
      <c r="H39" s="39"/>
      <c r="I39" s="20"/>
    </row>
    <row r="40" spans="1:9" ht="30" customHeight="1" thickTop="1" thickBot="1" x14ac:dyDescent="0.45">
      <c r="A40" s="334" t="s">
        <v>20</v>
      </c>
      <c r="B40" s="335"/>
      <c r="C40" s="33"/>
      <c r="D40" s="54">
        <f>D39+D38</f>
        <v>0</v>
      </c>
      <c r="E40" s="43"/>
      <c r="F40" s="42"/>
      <c r="G40" s="39"/>
      <c r="H40" s="39"/>
      <c r="I40" s="20"/>
    </row>
    <row r="41" spans="1:9" ht="13.75" customHeight="1" thickTop="1" thickBot="1" x14ac:dyDescent="0.45">
      <c r="A41" s="21"/>
      <c r="B41" s="45"/>
      <c r="C41" s="45"/>
      <c r="D41" s="45"/>
      <c r="E41" s="45"/>
      <c r="F41" s="45"/>
      <c r="G41" s="45"/>
      <c r="H41" s="45"/>
      <c r="I41" s="22"/>
    </row>
    <row r="42" spans="1:9" ht="25" customHeight="1" thickTop="1" thickBot="1" x14ac:dyDescent="0.45">
      <c r="A42" s="284" t="s">
        <v>22</v>
      </c>
      <c r="B42" s="285"/>
      <c r="C42" s="285"/>
      <c r="D42" s="285"/>
      <c r="E42" s="285"/>
      <c r="F42" s="285"/>
      <c r="G42" s="285"/>
      <c r="H42" s="285"/>
      <c r="I42" s="286"/>
    </row>
    <row r="43" spans="1:9" ht="25" customHeight="1" thickTop="1" thickBot="1" x14ac:dyDescent="0.65">
      <c r="A43" s="344" t="s">
        <v>23</v>
      </c>
      <c r="B43" s="345"/>
      <c r="C43" s="105"/>
      <c r="D43" s="106"/>
      <c r="E43" s="107"/>
      <c r="F43" s="47"/>
      <c r="G43" s="48" t="s">
        <v>24</v>
      </c>
      <c r="H43" s="287">
        <v>45752</v>
      </c>
      <c r="I43" s="346"/>
    </row>
    <row r="44" spans="1:9" ht="25" customHeight="1" thickTop="1" thickBot="1" x14ac:dyDescent="0.65">
      <c r="A44" s="274" t="s">
        <v>25</v>
      </c>
      <c r="B44" s="275"/>
      <c r="C44" s="46"/>
      <c r="D44" s="289" t="s">
        <v>26</v>
      </c>
      <c r="E44" s="289"/>
      <c r="F44" s="289"/>
      <c r="G44" s="289"/>
      <c r="H44" s="289"/>
      <c r="I44" s="20"/>
    </row>
    <row r="45" spans="1:9" ht="25" customHeight="1" thickTop="1" x14ac:dyDescent="0.4">
      <c r="A45" s="279" t="s">
        <v>27</v>
      </c>
      <c r="B45" s="280"/>
      <c r="C45" s="280"/>
      <c r="D45" s="280"/>
      <c r="E45" s="280"/>
      <c r="F45" s="47"/>
      <c r="G45" s="280" t="s">
        <v>28</v>
      </c>
      <c r="H45" s="280"/>
      <c r="I45" s="281"/>
    </row>
    <row r="46" spans="1:9" ht="25" customHeight="1" thickBot="1" x14ac:dyDescent="0.45">
      <c r="A46" s="279" t="s">
        <v>29</v>
      </c>
      <c r="B46" s="280"/>
      <c r="C46" s="280"/>
      <c r="D46" s="280"/>
      <c r="E46" s="48" t="s">
        <v>30</v>
      </c>
      <c r="F46" s="48"/>
      <c r="G46" s="282"/>
      <c r="H46" s="282"/>
      <c r="I46" s="23"/>
    </row>
    <row r="47" spans="1:9" ht="25" customHeight="1" thickTop="1" thickBot="1" x14ac:dyDescent="0.45">
      <c r="A47" s="274" t="s">
        <v>30</v>
      </c>
      <c r="B47" s="275"/>
      <c r="C47" s="46"/>
      <c r="D47" s="24"/>
      <c r="E47" s="48" t="s">
        <v>31</v>
      </c>
      <c r="F47" s="48"/>
      <c r="G47" s="283"/>
      <c r="H47" s="283"/>
      <c r="I47" s="20"/>
    </row>
    <row r="48" spans="1:9" ht="25" customHeight="1" thickTop="1" thickBot="1" x14ac:dyDescent="0.45">
      <c r="A48" s="274" t="s">
        <v>23</v>
      </c>
      <c r="B48" s="275"/>
      <c r="C48" s="46"/>
      <c r="D48" s="24"/>
      <c r="E48" s="48" t="s">
        <v>23</v>
      </c>
      <c r="F48" s="48"/>
      <c r="G48" s="24"/>
      <c r="H48" s="48" t="s">
        <v>0</v>
      </c>
      <c r="I48" s="25"/>
    </row>
    <row r="49" spans="1:9" ht="25" customHeight="1" thickTop="1" thickBot="1" x14ac:dyDescent="0.45">
      <c r="A49" s="276" t="s">
        <v>52</v>
      </c>
      <c r="B49" s="277"/>
      <c r="C49" s="277"/>
      <c r="D49" s="277"/>
      <c r="E49" s="277"/>
      <c r="F49" s="277"/>
      <c r="G49" s="277"/>
      <c r="H49" s="277"/>
      <c r="I49" s="278"/>
    </row>
    <row r="50" spans="1:9" ht="14.5" customHeight="1" thickTop="1" x14ac:dyDescent="0.3"/>
  </sheetData>
  <mergeCells count="41">
    <mergeCell ref="A13:A14"/>
    <mergeCell ref="B13:B14"/>
    <mergeCell ref="E18:E19"/>
    <mergeCell ref="D24:D25"/>
    <mergeCell ref="A15:A17"/>
    <mergeCell ref="B15:B17"/>
    <mergeCell ref="A20:A21"/>
    <mergeCell ref="B20:B21"/>
    <mergeCell ref="A24:A25"/>
    <mergeCell ref="B24:B25"/>
    <mergeCell ref="A22:A23"/>
    <mergeCell ref="B22:B23"/>
    <mergeCell ref="A2:E2"/>
    <mergeCell ref="A4:E4"/>
    <mergeCell ref="C5:D5"/>
    <mergeCell ref="C6:D7"/>
    <mergeCell ref="A11:A12"/>
    <mergeCell ref="B11:B12"/>
    <mergeCell ref="A40:B40"/>
    <mergeCell ref="A26:A28"/>
    <mergeCell ref="B26:B28"/>
    <mergeCell ref="A29:A31"/>
    <mergeCell ref="B29:B31"/>
    <mergeCell ref="A33:B33"/>
    <mergeCell ref="A36:B36"/>
    <mergeCell ref="A37:B37"/>
    <mergeCell ref="A38:B38"/>
    <mergeCell ref="A39:B39"/>
    <mergeCell ref="A49:I49"/>
    <mergeCell ref="A42:I42"/>
    <mergeCell ref="A43:B43"/>
    <mergeCell ref="H43:I43"/>
    <mergeCell ref="A44:B44"/>
    <mergeCell ref="D44:H44"/>
    <mergeCell ref="A45:E45"/>
    <mergeCell ref="G45:I45"/>
    <mergeCell ref="A46:D46"/>
    <mergeCell ref="G46:H46"/>
    <mergeCell ref="A47:B47"/>
    <mergeCell ref="G47:H47"/>
    <mergeCell ref="A48:B48"/>
  </mergeCells>
  <pageMargins left="0.7" right="0.7" top="0.75" bottom="0.75" header="0.3" footer="0.3"/>
  <pageSetup paperSize="9" scale="4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7"/>
  <sheetViews>
    <sheetView rightToLeft="1" topLeftCell="A25" zoomScaleNormal="100" workbookViewId="0">
      <selection activeCell="D30" sqref="D30"/>
    </sheetView>
  </sheetViews>
  <sheetFormatPr defaultRowHeight="14" x14ac:dyDescent="0.3"/>
  <cols>
    <col min="1" max="1" width="25.58203125" customWidth="1"/>
    <col min="2" max="3" width="20.58203125" customWidth="1"/>
    <col min="4" max="4" width="15.58203125" customWidth="1"/>
    <col min="5" max="5" width="53.58203125" customWidth="1"/>
  </cols>
  <sheetData>
    <row r="1" spans="1:11" ht="13.75" customHeight="1" thickBot="1" x14ac:dyDescent="0.35"/>
    <row r="2" spans="1:11" ht="35.15" customHeight="1" thickTop="1" thickBot="1" x14ac:dyDescent="0.6">
      <c r="A2" s="293" t="s">
        <v>2</v>
      </c>
      <c r="B2" s="294"/>
      <c r="C2" s="294"/>
      <c r="D2" s="294"/>
      <c r="E2" s="295"/>
      <c r="F2" s="34"/>
      <c r="G2" s="34"/>
      <c r="H2" s="35"/>
      <c r="I2" s="36"/>
    </row>
    <row r="3" spans="1:11" ht="13.75" customHeight="1" thickTop="1" thickBot="1" x14ac:dyDescent="0.35">
      <c r="A3" s="1"/>
      <c r="B3" s="37"/>
      <c r="C3" s="37"/>
      <c r="D3" s="37"/>
      <c r="E3" s="37"/>
      <c r="I3" s="38"/>
    </row>
    <row r="4" spans="1:11" ht="35.15" customHeight="1" thickTop="1" thickBot="1" x14ac:dyDescent="0.35">
      <c r="A4" s="296" t="s">
        <v>112</v>
      </c>
      <c r="B4" s="297"/>
      <c r="C4" s="297"/>
      <c r="D4" s="297"/>
      <c r="E4" s="298"/>
      <c r="I4" s="38"/>
    </row>
    <row r="5" spans="1:11" ht="50.15" customHeight="1" thickTop="1" thickBot="1" x14ac:dyDescent="0.35">
      <c r="A5" s="16" t="s">
        <v>3</v>
      </c>
      <c r="B5" s="17" t="s">
        <v>15</v>
      </c>
      <c r="C5" s="322" t="s">
        <v>13</v>
      </c>
      <c r="D5" s="323"/>
      <c r="E5" s="18" t="s">
        <v>14</v>
      </c>
      <c r="I5" s="38"/>
    </row>
    <row r="6" spans="1:11" ht="30" customHeight="1" thickTop="1" thickBot="1" x14ac:dyDescent="0.35">
      <c r="A6" s="15" t="s">
        <v>42</v>
      </c>
      <c r="B6" s="15" t="s">
        <v>33</v>
      </c>
      <c r="C6" s="324">
        <v>45778</v>
      </c>
      <c r="D6" s="325"/>
      <c r="E6" s="15" t="s">
        <v>2</v>
      </c>
      <c r="I6" s="38"/>
    </row>
    <row r="7" spans="1:11" ht="30" customHeight="1" thickTop="1" thickBot="1" x14ac:dyDescent="0.35">
      <c r="A7" s="15" t="s">
        <v>4</v>
      </c>
      <c r="B7" s="15" t="s">
        <v>5</v>
      </c>
      <c r="C7" s="326"/>
      <c r="D7" s="327"/>
      <c r="E7" s="19" t="s">
        <v>113</v>
      </c>
      <c r="I7" s="38"/>
    </row>
    <row r="8" spans="1:11" ht="13.75" customHeight="1" thickTop="1" x14ac:dyDescent="0.35">
      <c r="A8" s="2"/>
      <c r="B8" s="39"/>
      <c r="C8" s="39"/>
      <c r="D8" s="39"/>
      <c r="E8" s="39"/>
      <c r="I8" s="38"/>
    </row>
    <row r="9" spans="1:11" ht="13.75" customHeight="1" thickBot="1" x14ac:dyDescent="0.35">
      <c r="A9" s="40"/>
      <c r="I9" s="38"/>
    </row>
    <row r="10" spans="1:11" ht="35.15" customHeight="1" thickBot="1" x14ac:dyDescent="0.35">
      <c r="A10" s="100" t="s">
        <v>0</v>
      </c>
      <c r="B10" s="101" t="s">
        <v>6</v>
      </c>
      <c r="C10" s="102" t="s">
        <v>9</v>
      </c>
      <c r="D10" s="103" t="s">
        <v>35</v>
      </c>
      <c r="E10" s="104" t="s">
        <v>10</v>
      </c>
      <c r="I10" s="38"/>
      <c r="K10" t="s">
        <v>51</v>
      </c>
    </row>
    <row r="11" spans="1:11" ht="37" customHeight="1" thickTop="1" x14ac:dyDescent="0.3">
      <c r="A11" s="339">
        <v>45788</v>
      </c>
      <c r="B11" s="341" t="s">
        <v>17</v>
      </c>
      <c r="C11" s="12">
        <v>2</v>
      </c>
      <c r="D11" s="12" t="s">
        <v>36</v>
      </c>
      <c r="E11" s="124" t="s">
        <v>114</v>
      </c>
      <c r="I11" s="38"/>
    </row>
    <row r="12" spans="1:11" ht="55" customHeight="1" x14ac:dyDescent="0.3">
      <c r="A12" s="349"/>
      <c r="B12" s="351"/>
      <c r="C12" s="4">
        <v>2</v>
      </c>
      <c r="D12" s="4" t="s">
        <v>36</v>
      </c>
      <c r="E12" s="118" t="s">
        <v>115</v>
      </c>
      <c r="I12" s="38"/>
    </row>
    <row r="13" spans="1:11" ht="30" customHeight="1" thickBot="1" x14ac:dyDescent="0.35">
      <c r="A13" s="340"/>
      <c r="B13" s="342"/>
      <c r="C13" s="10">
        <v>2</v>
      </c>
      <c r="D13" s="10" t="s">
        <v>36</v>
      </c>
      <c r="E13" s="117" t="s">
        <v>116</v>
      </c>
      <c r="I13" s="38"/>
      <c r="K13" s="124"/>
    </row>
    <row r="14" spans="1:11" ht="55" customHeight="1" thickTop="1" x14ac:dyDescent="0.3">
      <c r="A14" s="355">
        <v>45790</v>
      </c>
      <c r="B14" s="357" t="s">
        <v>40</v>
      </c>
      <c r="C14" s="121">
        <v>3</v>
      </c>
      <c r="D14" s="121" t="s">
        <v>37</v>
      </c>
      <c r="E14" s="114" t="s">
        <v>117</v>
      </c>
      <c r="I14" s="38"/>
    </row>
    <row r="15" spans="1:11" ht="37" customHeight="1" thickBot="1" x14ac:dyDescent="0.35">
      <c r="A15" s="356"/>
      <c r="B15" s="358"/>
      <c r="C15" s="112">
        <v>6</v>
      </c>
      <c r="D15" s="112" t="s">
        <v>36</v>
      </c>
      <c r="E15" s="117" t="s">
        <v>118</v>
      </c>
      <c r="I15" s="38"/>
    </row>
    <row r="16" spans="1:11" ht="37" customHeight="1" thickTop="1" x14ac:dyDescent="0.3">
      <c r="A16" s="11">
        <v>45792</v>
      </c>
      <c r="B16" s="12" t="s">
        <v>8</v>
      </c>
      <c r="C16" s="12">
        <v>10</v>
      </c>
      <c r="D16" s="12" t="s">
        <v>37</v>
      </c>
      <c r="E16" s="359" t="s">
        <v>120</v>
      </c>
      <c r="I16" s="38"/>
    </row>
    <row r="17" spans="1:9" ht="37" customHeight="1" thickBot="1" x14ac:dyDescent="0.35">
      <c r="A17" s="9">
        <v>45793</v>
      </c>
      <c r="B17" s="10" t="s">
        <v>119</v>
      </c>
      <c r="C17" s="10">
        <v>5</v>
      </c>
      <c r="D17" s="10" t="s">
        <v>37</v>
      </c>
      <c r="E17" s="360"/>
      <c r="I17" s="38"/>
    </row>
    <row r="18" spans="1:9" ht="37" customHeight="1" thickTop="1" x14ac:dyDescent="0.3">
      <c r="A18" s="339">
        <v>45795</v>
      </c>
      <c r="B18" s="341" t="s">
        <v>17</v>
      </c>
      <c r="C18" s="8">
        <v>3</v>
      </c>
      <c r="D18" s="8" t="s">
        <v>37</v>
      </c>
      <c r="E18" s="124" t="s">
        <v>121</v>
      </c>
      <c r="I18" s="38"/>
    </row>
    <row r="19" spans="1:9" ht="50.15" customHeight="1" thickBot="1" x14ac:dyDescent="0.35">
      <c r="A19" s="340"/>
      <c r="B19" s="342"/>
      <c r="C19" s="10">
        <v>2</v>
      </c>
      <c r="D19" s="10" t="s">
        <v>37</v>
      </c>
      <c r="E19" s="118" t="s">
        <v>123</v>
      </c>
      <c r="I19" s="38"/>
    </row>
    <row r="20" spans="1:9" ht="37" customHeight="1" thickTop="1" thickBot="1" x14ac:dyDescent="0.35">
      <c r="A20" s="339">
        <v>45796</v>
      </c>
      <c r="B20" s="341" t="s">
        <v>34</v>
      </c>
      <c r="C20" s="12">
        <v>6</v>
      </c>
      <c r="D20" s="12" t="s">
        <v>36</v>
      </c>
      <c r="E20" s="117" t="s">
        <v>122</v>
      </c>
      <c r="I20" s="38"/>
    </row>
    <row r="21" spans="1:9" ht="55" customHeight="1" thickTop="1" thickBot="1" x14ac:dyDescent="0.35">
      <c r="A21" s="340"/>
      <c r="B21" s="342"/>
      <c r="C21" s="10">
        <v>3</v>
      </c>
      <c r="D21" s="10" t="s">
        <v>36</v>
      </c>
      <c r="E21" s="114" t="s">
        <v>130</v>
      </c>
      <c r="I21" s="38"/>
    </row>
    <row r="22" spans="1:9" ht="50.15" customHeight="1" thickTop="1" x14ac:dyDescent="0.3">
      <c r="A22" s="339">
        <v>45799</v>
      </c>
      <c r="B22" s="341" t="s">
        <v>8</v>
      </c>
      <c r="C22" s="12">
        <v>2</v>
      </c>
      <c r="D22" s="12" t="s">
        <v>37</v>
      </c>
      <c r="E22" s="114" t="s">
        <v>124</v>
      </c>
      <c r="I22" s="38"/>
    </row>
    <row r="23" spans="1:9" ht="50.15" customHeight="1" x14ac:dyDescent="0.3">
      <c r="A23" s="349"/>
      <c r="B23" s="351"/>
      <c r="C23" s="4">
        <v>2</v>
      </c>
      <c r="D23" s="4" t="s">
        <v>37</v>
      </c>
      <c r="E23" s="118" t="s">
        <v>125</v>
      </c>
      <c r="I23" s="38"/>
    </row>
    <row r="24" spans="1:9" ht="45" customHeight="1" thickBot="1" x14ac:dyDescent="0.35">
      <c r="A24" s="340"/>
      <c r="B24" s="342"/>
      <c r="C24" s="10">
        <v>5</v>
      </c>
      <c r="D24" s="10" t="s">
        <v>37</v>
      </c>
      <c r="E24" s="117" t="s">
        <v>126</v>
      </c>
      <c r="I24" s="38"/>
    </row>
    <row r="25" spans="1:9" ht="45" customHeight="1" thickTop="1" thickBot="1" x14ac:dyDescent="0.35">
      <c r="A25" s="5">
        <v>45802</v>
      </c>
      <c r="B25" s="6" t="s">
        <v>17</v>
      </c>
      <c r="C25" s="6">
        <v>5</v>
      </c>
      <c r="D25" s="6" t="s">
        <v>37</v>
      </c>
      <c r="E25" s="117" t="s">
        <v>129</v>
      </c>
      <c r="I25" s="38"/>
    </row>
    <row r="26" spans="1:9" ht="37" customHeight="1" thickTop="1" x14ac:dyDescent="0.3">
      <c r="A26" s="339">
        <v>45803</v>
      </c>
      <c r="B26" s="341" t="s">
        <v>34</v>
      </c>
      <c r="C26" s="12">
        <v>2</v>
      </c>
      <c r="D26" s="12" t="s">
        <v>37</v>
      </c>
      <c r="E26" s="114" t="s">
        <v>127</v>
      </c>
      <c r="I26" s="38"/>
    </row>
    <row r="27" spans="1:9" ht="37" customHeight="1" x14ac:dyDescent="0.3">
      <c r="A27" s="349"/>
      <c r="B27" s="351"/>
      <c r="C27" s="4">
        <v>1</v>
      </c>
      <c r="D27" s="4" t="s">
        <v>37</v>
      </c>
      <c r="E27" s="118" t="s">
        <v>108</v>
      </c>
      <c r="I27" s="38"/>
    </row>
    <row r="28" spans="1:9" ht="37" customHeight="1" thickBot="1" x14ac:dyDescent="0.35">
      <c r="A28" s="340"/>
      <c r="B28" s="342"/>
      <c r="C28" s="8">
        <v>3</v>
      </c>
      <c r="D28" s="8" t="s">
        <v>37</v>
      </c>
      <c r="E28" s="124" t="s">
        <v>128</v>
      </c>
      <c r="I28" s="38"/>
    </row>
    <row r="29" spans="1:9" ht="37" customHeight="1" thickTop="1" thickBot="1" x14ac:dyDescent="0.35">
      <c r="A29" s="49">
        <v>45804</v>
      </c>
      <c r="B29" s="50" t="s">
        <v>40</v>
      </c>
      <c r="C29" s="50">
        <v>9</v>
      </c>
      <c r="D29" s="50" t="s">
        <v>37</v>
      </c>
      <c r="E29" s="116" t="s">
        <v>131</v>
      </c>
      <c r="I29" s="38"/>
    </row>
    <row r="30" spans="1:9" ht="35.15" customHeight="1" thickTop="1" thickBot="1" x14ac:dyDescent="0.55000000000000004">
      <c r="A30" s="353" t="s">
        <v>1</v>
      </c>
      <c r="B30" s="354"/>
      <c r="C30" s="13">
        <f>SUM(C11:C29)</f>
        <v>73</v>
      </c>
      <c r="D30" s="13">
        <f>+'אפריל 2025  '!E33</f>
        <v>1447</v>
      </c>
      <c r="E30" s="14">
        <f>D30-C30</f>
        <v>1374</v>
      </c>
      <c r="I30" s="38"/>
    </row>
    <row r="31" spans="1:9" ht="13.75" customHeight="1" thickTop="1" x14ac:dyDescent="0.3">
      <c r="A31" s="40"/>
      <c r="I31" s="38"/>
    </row>
    <row r="32" spans="1:9" ht="13.75" customHeight="1" thickBot="1" x14ac:dyDescent="0.35">
      <c r="A32" s="40"/>
      <c r="I32" s="38"/>
    </row>
    <row r="33" spans="1:9" ht="30" customHeight="1" thickTop="1" x14ac:dyDescent="0.4">
      <c r="A33" s="328" t="s">
        <v>18</v>
      </c>
      <c r="B33" s="329"/>
      <c r="C33" s="30"/>
      <c r="D33" s="53">
        <v>73</v>
      </c>
      <c r="E33" s="41"/>
      <c r="F33" s="42"/>
      <c r="G33" s="39"/>
      <c r="H33" s="39"/>
      <c r="I33" s="20"/>
    </row>
    <row r="34" spans="1:9" ht="30" customHeight="1" x14ac:dyDescent="0.4">
      <c r="A34" s="330" t="s">
        <v>19</v>
      </c>
      <c r="B34" s="331"/>
      <c r="C34" s="31"/>
      <c r="D34" s="26"/>
      <c r="E34" s="43"/>
      <c r="F34" s="44"/>
      <c r="G34" s="39"/>
      <c r="H34" s="39"/>
      <c r="I34" s="20"/>
    </row>
    <row r="35" spans="1:9" ht="30" customHeight="1" x14ac:dyDescent="0.4">
      <c r="A35" s="330" t="s">
        <v>20</v>
      </c>
      <c r="B35" s="331"/>
      <c r="C35" s="31"/>
      <c r="D35" s="26"/>
      <c r="E35" s="43"/>
      <c r="F35" s="44"/>
      <c r="G35" s="39"/>
      <c r="H35" s="39"/>
      <c r="I35" s="20"/>
    </row>
    <row r="36" spans="1:9" ht="30" customHeight="1" thickBot="1" x14ac:dyDescent="0.45">
      <c r="A36" s="332" t="s">
        <v>21</v>
      </c>
      <c r="B36" s="333"/>
      <c r="C36" s="32"/>
      <c r="D36" s="29"/>
      <c r="E36" s="43"/>
      <c r="F36" s="44"/>
      <c r="G36" s="39"/>
      <c r="H36" s="39"/>
      <c r="I36" s="20"/>
    </row>
    <row r="37" spans="1:9" ht="30" customHeight="1" thickTop="1" thickBot="1" x14ac:dyDescent="0.45">
      <c r="A37" s="334" t="s">
        <v>20</v>
      </c>
      <c r="B37" s="335"/>
      <c r="C37" s="33"/>
      <c r="D37" s="54">
        <f>D36+D35</f>
        <v>0</v>
      </c>
      <c r="E37" s="43"/>
      <c r="F37" s="42"/>
      <c r="G37" s="39"/>
      <c r="H37" s="39"/>
      <c r="I37" s="20"/>
    </row>
    <row r="38" spans="1:9" ht="13.75" customHeight="1" thickTop="1" thickBot="1" x14ac:dyDescent="0.45">
      <c r="A38" s="21"/>
      <c r="B38" s="45"/>
      <c r="C38" s="45"/>
      <c r="D38" s="45"/>
      <c r="E38" s="45"/>
      <c r="F38" s="45"/>
      <c r="G38" s="45"/>
      <c r="H38" s="45"/>
      <c r="I38" s="22"/>
    </row>
    <row r="39" spans="1:9" ht="25" customHeight="1" thickTop="1" thickBot="1" x14ac:dyDescent="0.45">
      <c r="A39" s="284" t="s">
        <v>22</v>
      </c>
      <c r="B39" s="285"/>
      <c r="C39" s="285"/>
      <c r="D39" s="285"/>
      <c r="E39" s="285"/>
      <c r="F39" s="285"/>
      <c r="G39" s="285"/>
      <c r="H39" s="285"/>
      <c r="I39" s="286"/>
    </row>
    <row r="40" spans="1:9" ht="25" customHeight="1" thickTop="1" thickBot="1" x14ac:dyDescent="0.65">
      <c r="A40" s="344" t="s">
        <v>23</v>
      </c>
      <c r="B40" s="345"/>
      <c r="C40" s="105"/>
      <c r="D40" s="106"/>
      <c r="E40" s="107"/>
      <c r="F40" s="47"/>
      <c r="G40" s="48" t="s">
        <v>24</v>
      </c>
      <c r="H40" s="287">
        <v>45807</v>
      </c>
      <c r="I40" s="346"/>
    </row>
    <row r="41" spans="1:9" ht="25" customHeight="1" thickTop="1" thickBot="1" x14ac:dyDescent="0.65">
      <c r="A41" s="274" t="s">
        <v>25</v>
      </c>
      <c r="B41" s="275"/>
      <c r="C41" s="46"/>
      <c r="D41" s="289" t="s">
        <v>26</v>
      </c>
      <c r="E41" s="289"/>
      <c r="F41" s="289"/>
      <c r="G41" s="289"/>
      <c r="H41" s="289"/>
      <c r="I41" s="20"/>
    </row>
    <row r="42" spans="1:9" ht="25" customHeight="1" thickTop="1" x14ac:dyDescent="0.4">
      <c r="A42" s="279" t="s">
        <v>27</v>
      </c>
      <c r="B42" s="280"/>
      <c r="C42" s="280"/>
      <c r="D42" s="280"/>
      <c r="E42" s="280"/>
      <c r="F42" s="47"/>
      <c r="G42" s="280" t="s">
        <v>28</v>
      </c>
      <c r="H42" s="280"/>
      <c r="I42" s="281"/>
    </row>
    <row r="43" spans="1:9" ht="25" customHeight="1" thickBot="1" x14ac:dyDescent="0.45">
      <c r="A43" s="279" t="s">
        <v>29</v>
      </c>
      <c r="B43" s="280"/>
      <c r="C43" s="280"/>
      <c r="D43" s="280"/>
      <c r="E43" s="48" t="s">
        <v>30</v>
      </c>
      <c r="F43" s="48"/>
      <c r="G43" s="282"/>
      <c r="H43" s="282"/>
      <c r="I43" s="23"/>
    </row>
    <row r="44" spans="1:9" ht="25" customHeight="1" thickTop="1" thickBot="1" x14ac:dyDescent="0.45">
      <c r="A44" s="274" t="s">
        <v>30</v>
      </c>
      <c r="B44" s="275"/>
      <c r="C44" s="46"/>
      <c r="D44" s="24"/>
      <c r="E44" s="48" t="s">
        <v>31</v>
      </c>
      <c r="F44" s="48"/>
      <c r="G44" s="283"/>
      <c r="H44" s="283"/>
      <c r="I44" s="20"/>
    </row>
    <row r="45" spans="1:9" ht="25" customHeight="1" thickTop="1" thickBot="1" x14ac:dyDescent="0.45">
      <c r="A45" s="274" t="s">
        <v>23</v>
      </c>
      <c r="B45" s="275"/>
      <c r="C45" s="46"/>
      <c r="D45" s="24"/>
      <c r="E45" s="48" t="s">
        <v>23</v>
      </c>
      <c r="F45" s="48"/>
      <c r="G45" s="24"/>
      <c r="H45" s="48" t="s">
        <v>0</v>
      </c>
      <c r="I45" s="25"/>
    </row>
    <row r="46" spans="1:9" ht="25" customHeight="1" thickTop="1" thickBot="1" x14ac:dyDescent="0.45">
      <c r="A46" s="276" t="s">
        <v>52</v>
      </c>
      <c r="B46" s="277"/>
      <c r="C46" s="277"/>
      <c r="D46" s="277"/>
      <c r="E46" s="277"/>
      <c r="F46" s="277"/>
      <c r="G46" s="277"/>
      <c r="H46" s="277"/>
      <c r="I46" s="278"/>
    </row>
    <row r="47" spans="1:9" ht="14.5" customHeight="1" thickTop="1" x14ac:dyDescent="0.3"/>
  </sheetData>
  <mergeCells count="36">
    <mergeCell ref="B26:B28"/>
    <mergeCell ref="A26:A28"/>
    <mergeCell ref="B20:B21"/>
    <mergeCell ref="A45:B45"/>
    <mergeCell ref="A46:I46"/>
    <mergeCell ref="A42:E42"/>
    <mergeCell ref="G42:I42"/>
    <mergeCell ref="A43:D43"/>
    <mergeCell ref="G43:H43"/>
    <mergeCell ref="A44:B44"/>
    <mergeCell ref="G44:H44"/>
    <mergeCell ref="A41:B41"/>
    <mergeCell ref="D41:H41"/>
    <mergeCell ref="A30:B30"/>
    <mergeCell ref="A33:B33"/>
    <mergeCell ref="A34:B34"/>
    <mergeCell ref="A35:B35"/>
    <mergeCell ref="A36:B36"/>
    <mergeCell ref="A37:B37"/>
    <mergeCell ref="A39:I39"/>
    <mergeCell ref="A40:B40"/>
    <mergeCell ref="H40:I40"/>
    <mergeCell ref="A2:E2"/>
    <mergeCell ref="A4:E4"/>
    <mergeCell ref="C5:D5"/>
    <mergeCell ref="C6:D7"/>
    <mergeCell ref="A11:A13"/>
    <mergeCell ref="B11:B13"/>
    <mergeCell ref="E16:E17"/>
    <mergeCell ref="A18:A19"/>
    <mergeCell ref="A14:A15"/>
    <mergeCell ref="B14:B15"/>
    <mergeCell ref="A22:A24"/>
    <mergeCell ref="B22:B24"/>
    <mergeCell ref="A20:A21"/>
    <mergeCell ref="B18:B19"/>
  </mergeCells>
  <pageMargins left="0.7" right="0.7" top="0.75" bottom="0.75" header="0.3" footer="0.3"/>
  <pageSetup paperSize="9" scale="44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1"/>
  <sheetViews>
    <sheetView rightToLeft="1" zoomScaleNormal="100" workbookViewId="0">
      <selection activeCell="D24" sqref="D24"/>
    </sheetView>
  </sheetViews>
  <sheetFormatPr defaultRowHeight="14" x14ac:dyDescent="0.3"/>
  <cols>
    <col min="1" max="1" width="25.58203125" customWidth="1"/>
    <col min="2" max="3" width="20.58203125" customWidth="1"/>
    <col min="4" max="4" width="15.58203125" customWidth="1"/>
    <col min="5" max="5" width="53.58203125" customWidth="1"/>
  </cols>
  <sheetData>
    <row r="1" spans="1:11" ht="13.75" customHeight="1" thickBot="1" x14ac:dyDescent="0.35"/>
    <row r="2" spans="1:11" ht="35.15" customHeight="1" thickTop="1" thickBot="1" x14ac:dyDescent="0.6">
      <c r="A2" s="293" t="s">
        <v>2</v>
      </c>
      <c r="B2" s="294"/>
      <c r="C2" s="294"/>
      <c r="D2" s="294"/>
      <c r="E2" s="295"/>
      <c r="F2" s="34"/>
      <c r="G2" s="34"/>
      <c r="H2" s="35"/>
      <c r="I2" s="36"/>
    </row>
    <row r="3" spans="1:11" ht="13.75" customHeight="1" thickTop="1" thickBot="1" x14ac:dyDescent="0.35">
      <c r="A3" s="1"/>
      <c r="B3" s="37"/>
      <c r="C3" s="37"/>
      <c r="D3" s="37"/>
      <c r="E3" s="37"/>
      <c r="I3" s="38"/>
    </row>
    <row r="4" spans="1:11" ht="35.15" customHeight="1" thickTop="1" thickBot="1" x14ac:dyDescent="0.35">
      <c r="A4" s="296" t="s">
        <v>132</v>
      </c>
      <c r="B4" s="297"/>
      <c r="C4" s="297"/>
      <c r="D4" s="297"/>
      <c r="E4" s="298"/>
      <c r="I4" s="38"/>
    </row>
    <row r="5" spans="1:11" ht="50.15" customHeight="1" thickTop="1" thickBot="1" x14ac:dyDescent="0.35">
      <c r="A5" s="16" t="s">
        <v>3</v>
      </c>
      <c r="B5" s="17" t="s">
        <v>15</v>
      </c>
      <c r="C5" s="322" t="s">
        <v>13</v>
      </c>
      <c r="D5" s="323"/>
      <c r="E5" s="18" t="s">
        <v>14</v>
      </c>
      <c r="I5" s="38"/>
    </row>
    <row r="6" spans="1:11" ht="30" customHeight="1" thickTop="1" thickBot="1" x14ac:dyDescent="0.35">
      <c r="A6" s="15" t="s">
        <v>42</v>
      </c>
      <c r="B6" s="15" t="s">
        <v>33</v>
      </c>
      <c r="C6" s="324">
        <v>45809</v>
      </c>
      <c r="D6" s="325"/>
      <c r="E6" s="15" t="s">
        <v>2</v>
      </c>
      <c r="I6" s="38"/>
    </row>
    <row r="7" spans="1:11" ht="30" customHeight="1" thickTop="1" thickBot="1" x14ac:dyDescent="0.35">
      <c r="A7" s="15" t="s">
        <v>4</v>
      </c>
      <c r="B7" s="15" t="s">
        <v>5</v>
      </c>
      <c r="C7" s="326"/>
      <c r="D7" s="327"/>
      <c r="E7" s="19" t="s">
        <v>133</v>
      </c>
      <c r="I7" s="38"/>
    </row>
    <row r="8" spans="1:11" ht="13.75" customHeight="1" thickTop="1" x14ac:dyDescent="0.35">
      <c r="A8" s="2"/>
      <c r="B8" s="39"/>
      <c r="C8" s="39"/>
      <c r="D8" s="39"/>
      <c r="E8" s="39"/>
      <c r="I8" s="38"/>
    </row>
    <row r="9" spans="1:11" ht="13.75" customHeight="1" thickBot="1" x14ac:dyDescent="0.35">
      <c r="A9" s="40"/>
      <c r="I9" s="38"/>
    </row>
    <row r="10" spans="1:11" ht="35.15" customHeight="1" thickBot="1" x14ac:dyDescent="0.35">
      <c r="A10" s="100" t="s">
        <v>0</v>
      </c>
      <c r="B10" s="101" t="s">
        <v>6</v>
      </c>
      <c r="C10" s="102" t="s">
        <v>9</v>
      </c>
      <c r="D10" s="103" t="s">
        <v>35</v>
      </c>
      <c r="E10" s="104" t="s">
        <v>10</v>
      </c>
      <c r="I10" s="38"/>
      <c r="K10" t="s">
        <v>51</v>
      </c>
    </row>
    <row r="11" spans="1:11" ht="37" customHeight="1" thickTop="1" x14ac:dyDescent="0.3">
      <c r="A11" s="11">
        <v>45813</v>
      </c>
      <c r="B11" s="12" t="s">
        <v>8</v>
      </c>
      <c r="C11" s="12">
        <v>2</v>
      </c>
      <c r="D11" s="12" t="s">
        <v>36</v>
      </c>
      <c r="E11" s="114" t="s">
        <v>134</v>
      </c>
      <c r="I11" s="38"/>
    </row>
    <row r="12" spans="1:11" ht="55" customHeight="1" x14ac:dyDescent="0.3">
      <c r="A12" s="362">
        <v>45816</v>
      </c>
      <c r="B12" s="363" t="s">
        <v>17</v>
      </c>
      <c r="C12" s="4">
        <v>5</v>
      </c>
      <c r="D12" s="4" t="s">
        <v>36</v>
      </c>
      <c r="E12" s="118" t="s">
        <v>143</v>
      </c>
      <c r="I12" s="38"/>
    </row>
    <row r="13" spans="1:11" ht="37" customHeight="1" x14ac:dyDescent="0.3">
      <c r="A13" s="350"/>
      <c r="B13" s="343"/>
      <c r="C13" s="8">
        <v>1</v>
      </c>
      <c r="D13" s="8" t="s">
        <v>36</v>
      </c>
      <c r="E13" s="124" t="s">
        <v>140</v>
      </c>
      <c r="I13" s="38"/>
    </row>
    <row r="14" spans="1:11" ht="37" customHeight="1" x14ac:dyDescent="0.3">
      <c r="A14" s="3">
        <v>45818</v>
      </c>
      <c r="B14" s="4" t="s">
        <v>40</v>
      </c>
      <c r="C14" s="4">
        <v>3</v>
      </c>
      <c r="D14" s="4" t="s">
        <v>37</v>
      </c>
      <c r="E14" s="124" t="s">
        <v>135</v>
      </c>
      <c r="I14" s="38"/>
    </row>
    <row r="15" spans="1:11" ht="37" customHeight="1" x14ac:dyDescent="0.3">
      <c r="A15" s="3">
        <v>45789</v>
      </c>
      <c r="B15" s="4" t="s">
        <v>8</v>
      </c>
      <c r="C15" s="4">
        <v>6</v>
      </c>
      <c r="D15" s="4" t="s">
        <v>37</v>
      </c>
      <c r="E15" s="118" t="s">
        <v>136</v>
      </c>
      <c r="I15" s="38"/>
    </row>
    <row r="16" spans="1:11" ht="37" customHeight="1" x14ac:dyDescent="0.3">
      <c r="A16" s="362">
        <v>45827</v>
      </c>
      <c r="B16" s="363" t="s">
        <v>8</v>
      </c>
      <c r="C16" s="4">
        <v>3</v>
      </c>
      <c r="D16" s="4" t="s">
        <v>37</v>
      </c>
      <c r="E16" s="118" t="s">
        <v>137</v>
      </c>
      <c r="I16" s="38"/>
    </row>
    <row r="17" spans="1:9" ht="37" customHeight="1" x14ac:dyDescent="0.3">
      <c r="A17" s="350"/>
      <c r="B17" s="343"/>
      <c r="C17" s="4">
        <v>2</v>
      </c>
      <c r="D17" s="4" t="s">
        <v>37</v>
      </c>
      <c r="E17" s="118" t="s">
        <v>138</v>
      </c>
      <c r="I17" s="38"/>
    </row>
    <row r="18" spans="1:9" ht="37" customHeight="1" x14ac:dyDescent="0.3">
      <c r="A18" s="3">
        <v>45830</v>
      </c>
      <c r="B18" s="4" t="s">
        <v>17</v>
      </c>
      <c r="C18" s="4">
        <v>2</v>
      </c>
      <c r="D18" s="4" t="s">
        <v>37</v>
      </c>
      <c r="E18" s="118" t="s">
        <v>139</v>
      </c>
      <c r="I18" s="38"/>
    </row>
    <row r="19" spans="1:9" ht="37" customHeight="1" x14ac:dyDescent="0.4">
      <c r="A19" s="362">
        <v>45833</v>
      </c>
      <c r="B19" s="363" t="s">
        <v>7</v>
      </c>
      <c r="C19" s="4">
        <v>2</v>
      </c>
      <c r="D19" s="4" t="s">
        <v>37</v>
      </c>
      <c r="E19" s="126" t="s">
        <v>141</v>
      </c>
      <c r="I19" s="38"/>
    </row>
    <row r="20" spans="1:9" ht="37" customHeight="1" x14ac:dyDescent="0.3">
      <c r="A20" s="350"/>
      <c r="B20" s="343"/>
      <c r="C20" s="4">
        <v>6</v>
      </c>
      <c r="D20" s="4" t="s">
        <v>37</v>
      </c>
      <c r="E20" s="364" t="s">
        <v>142</v>
      </c>
      <c r="I20" s="38"/>
    </row>
    <row r="21" spans="1:9" ht="37" customHeight="1" x14ac:dyDescent="0.3">
      <c r="A21" s="3">
        <v>45834</v>
      </c>
      <c r="B21" s="4" t="s">
        <v>8</v>
      </c>
      <c r="C21" s="4">
        <v>10</v>
      </c>
      <c r="D21" s="4" t="s">
        <v>37</v>
      </c>
      <c r="E21" s="365"/>
      <c r="I21" s="38"/>
    </row>
    <row r="22" spans="1:9" ht="37" customHeight="1" x14ac:dyDescent="0.3">
      <c r="A22" s="3">
        <v>45837</v>
      </c>
      <c r="B22" s="4" t="s">
        <v>17</v>
      </c>
      <c r="C22" s="4">
        <v>3</v>
      </c>
      <c r="D22" s="4" t="s">
        <v>37</v>
      </c>
      <c r="E22" s="124" t="s">
        <v>177</v>
      </c>
      <c r="I22" s="38"/>
    </row>
    <row r="23" spans="1:9" ht="50.15" customHeight="1" x14ac:dyDescent="0.3">
      <c r="A23" s="3">
        <v>45838</v>
      </c>
      <c r="B23" s="4" t="s">
        <v>34</v>
      </c>
      <c r="C23" s="4">
        <v>3</v>
      </c>
      <c r="D23" s="4" t="s">
        <v>37</v>
      </c>
      <c r="E23" s="124" t="s">
        <v>144</v>
      </c>
      <c r="I23" s="38"/>
    </row>
    <row r="24" spans="1:9" ht="35.15" customHeight="1" thickBot="1" x14ac:dyDescent="0.55000000000000004">
      <c r="A24" s="353" t="s">
        <v>1</v>
      </c>
      <c r="B24" s="361"/>
      <c r="C24" s="128">
        <f>SUM(C11:C23)</f>
        <v>48</v>
      </c>
      <c r="D24" s="128">
        <f>+'מאי 2025 '!E30</f>
        <v>1374</v>
      </c>
      <c r="E24" s="127">
        <f>D24-C24</f>
        <v>1326</v>
      </c>
      <c r="I24" s="38"/>
    </row>
    <row r="25" spans="1:9" ht="13.75" customHeight="1" thickTop="1" x14ac:dyDescent="0.3">
      <c r="A25" s="40"/>
      <c r="I25" s="38"/>
    </row>
    <row r="26" spans="1:9" ht="13.75" customHeight="1" thickBot="1" x14ac:dyDescent="0.35">
      <c r="A26" s="40"/>
      <c r="I26" s="38"/>
    </row>
    <row r="27" spans="1:9" ht="30" customHeight="1" thickTop="1" x14ac:dyDescent="0.4">
      <c r="A27" s="328" t="s">
        <v>18</v>
      </c>
      <c r="B27" s="329"/>
      <c r="C27" s="30"/>
      <c r="D27" s="53">
        <v>48</v>
      </c>
      <c r="E27" s="41"/>
      <c r="F27" s="42"/>
      <c r="G27" s="39"/>
      <c r="H27" s="39"/>
      <c r="I27" s="20"/>
    </row>
    <row r="28" spans="1:9" ht="30" customHeight="1" x14ac:dyDescent="0.4">
      <c r="A28" s="330" t="s">
        <v>19</v>
      </c>
      <c r="B28" s="331"/>
      <c r="C28" s="31"/>
      <c r="D28" s="26"/>
      <c r="E28" s="43"/>
      <c r="F28" s="44"/>
      <c r="G28" s="39"/>
      <c r="H28" s="39"/>
      <c r="I28" s="20"/>
    </row>
    <row r="29" spans="1:9" ht="30" customHeight="1" x14ac:dyDescent="0.4">
      <c r="A29" s="330" t="s">
        <v>20</v>
      </c>
      <c r="B29" s="331"/>
      <c r="C29" s="31"/>
      <c r="D29" s="26"/>
      <c r="E29" s="43"/>
      <c r="F29" s="44"/>
      <c r="G29" s="39"/>
      <c r="H29" s="39"/>
      <c r="I29" s="20"/>
    </row>
    <row r="30" spans="1:9" ht="30" customHeight="1" thickBot="1" x14ac:dyDescent="0.45">
      <c r="A30" s="332" t="s">
        <v>21</v>
      </c>
      <c r="B30" s="333"/>
      <c r="C30" s="32"/>
      <c r="D30" s="29"/>
      <c r="E30" s="43"/>
      <c r="F30" s="44"/>
      <c r="G30" s="39"/>
      <c r="H30" s="39"/>
      <c r="I30" s="20"/>
    </row>
    <row r="31" spans="1:9" ht="30" customHeight="1" thickTop="1" thickBot="1" x14ac:dyDescent="0.45">
      <c r="A31" s="334" t="s">
        <v>20</v>
      </c>
      <c r="B31" s="335"/>
      <c r="C31" s="33"/>
      <c r="D31" s="54">
        <f>D30+D29</f>
        <v>0</v>
      </c>
      <c r="E31" s="43"/>
      <c r="F31" s="42"/>
      <c r="G31" s="39"/>
      <c r="H31" s="39"/>
      <c r="I31" s="20"/>
    </row>
    <row r="32" spans="1:9" ht="13.75" customHeight="1" thickTop="1" thickBot="1" x14ac:dyDescent="0.45">
      <c r="A32" s="21"/>
      <c r="B32" s="45"/>
      <c r="C32" s="45"/>
      <c r="D32" s="45"/>
      <c r="E32" s="45"/>
      <c r="F32" s="45"/>
      <c r="G32" s="45"/>
      <c r="H32" s="45"/>
      <c r="I32" s="22"/>
    </row>
    <row r="33" spans="1:9" ht="25" customHeight="1" thickTop="1" thickBot="1" x14ac:dyDescent="0.45">
      <c r="A33" s="284" t="s">
        <v>22</v>
      </c>
      <c r="B33" s="285"/>
      <c r="C33" s="285"/>
      <c r="D33" s="285"/>
      <c r="E33" s="285"/>
      <c r="F33" s="285"/>
      <c r="G33" s="285"/>
      <c r="H33" s="285"/>
      <c r="I33" s="286"/>
    </row>
    <row r="34" spans="1:9" ht="25" customHeight="1" thickTop="1" thickBot="1" x14ac:dyDescent="0.65">
      <c r="A34" s="344" t="s">
        <v>23</v>
      </c>
      <c r="B34" s="345"/>
      <c r="C34" s="105"/>
      <c r="D34" s="106"/>
      <c r="E34" s="107"/>
      <c r="F34" s="47"/>
      <c r="G34" s="48" t="s">
        <v>24</v>
      </c>
      <c r="H34" s="287">
        <v>45838</v>
      </c>
      <c r="I34" s="346"/>
    </row>
    <row r="35" spans="1:9" ht="25" customHeight="1" thickTop="1" thickBot="1" x14ac:dyDescent="0.65">
      <c r="A35" s="274" t="s">
        <v>25</v>
      </c>
      <c r="B35" s="275"/>
      <c r="C35" s="46"/>
      <c r="D35" s="289" t="s">
        <v>26</v>
      </c>
      <c r="E35" s="289"/>
      <c r="F35" s="289"/>
      <c r="G35" s="289"/>
      <c r="H35" s="289"/>
      <c r="I35" s="20"/>
    </row>
    <row r="36" spans="1:9" ht="25" customHeight="1" thickTop="1" x14ac:dyDescent="0.4">
      <c r="A36" s="279" t="s">
        <v>27</v>
      </c>
      <c r="B36" s="280"/>
      <c r="C36" s="280"/>
      <c r="D36" s="280"/>
      <c r="E36" s="280"/>
      <c r="F36" s="47"/>
      <c r="G36" s="280" t="s">
        <v>28</v>
      </c>
      <c r="H36" s="280"/>
      <c r="I36" s="281"/>
    </row>
    <row r="37" spans="1:9" ht="25" customHeight="1" thickBot="1" x14ac:dyDescent="0.45">
      <c r="A37" s="279" t="s">
        <v>29</v>
      </c>
      <c r="B37" s="280"/>
      <c r="C37" s="280"/>
      <c r="D37" s="280"/>
      <c r="E37" s="48" t="s">
        <v>30</v>
      </c>
      <c r="F37" s="48"/>
      <c r="G37" s="282"/>
      <c r="H37" s="282"/>
      <c r="I37" s="23"/>
    </row>
    <row r="38" spans="1:9" ht="25" customHeight="1" thickTop="1" thickBot="1" x14ac:dyDescent="0.45">
      <c r="A38" s="274" t="s">
        <v>30</v>
      </c>
      <c r="B38" s="275"/>
      <c r="C38" s="46"/>
      <c r="D38" s="24"/>
      <c r="E38" s="48" t="s">
        <v>31</v>
      </c>
      <c r="F38" s="48"/>
      <c r="G38" s="283"/>
      <c r="H38" s="283"/>
      <c r="I38" s="20"/>
    </row>
    <row r="39" spans="1:9" ht="25" customHeight="1" thickTop="1" thickBot="1" x14ac:dyDescent="0.45">
      <c r="A39" s="274" t="s">
        <v>23</v>
      </c>
      <c r="B39" s="275"/>
      <c r="C39" s="46"/>
      <c r="D39" s="24"/>
      <c r="E39" s="48" t="s">
        <v>23</v>
      </c>
      <c r="F39" s="48"/>
      <c r="G39" s="24"/>
      <c r="H39" s="48" t="s">
        <v>0</v>
      </c>
      <c r="I39" s="25"/>
    </row>
    <row r="40" spans="1:9" ht="25" customHeight="1" thickTop="1" thickBot="1" x14ac:dyDescent="0.45">
      <c r="A40" s="276" t="s">
        <v>52</v>
      </c>
      <c r="B40" s="277"/>
      <c r="C40" s="277"/>
      <c r="D40" s="277"/>
      <c r="E40" s="277"/>
      <c r="F40" s="277"/>
      <c r="G40" s="277"/>
      <c r="H40" s="277"/>
      <c r="I40" s="278"/>
    </row>
    <row r="41" spans="1:9" ht="14.5" customHeight="1" thickTop="1" x14ac:dyDescent="0.3"/>
  </sheetData>
  <mergeCells count="30">
    <mergeCell ref="A38:B38"/>
    <mergeCell ref="G38:H38"/>
    <mergeCell ref="A39:B39"/>
    <mergeCell ref="A40:I40"/>
    <mergeCell ref="A35:B35"/>
    <mergeCell ref="D35:H35"/>
    <mergeCell ref="A36:E36"/>
    <mergeCell ref="G36:I36"/>
    <mergeCell ref="A37:D37"/>
    <mergeCell ref="G37:H37"/>
    <mergeCell ref="H34:I34"/>
    <mergeCell ref="A24:B24"/>
    <mergeCell ref="A27:B27"/>
    <mergeCell ref="A12:A13"/>
    <mergeCell ref="B12:B13"/>
    <mergeCell ref="A28:B28"/>
    <mergeCell ref="A29:B29"/>
    <mergeCell ref="A30:B30"/>
    <mergeCell ref="A31:B31"/>
    <mergeCell ref="A33:I33"/>
    <mergeCell ref="A16:A17"/>
    <mergeCell ref="B16:B17"/>
    <mergeCell ref="E20:E21"/>
    <mergeCell ref="A19:A20"/>
    <mergeCell ref="B19:B20"/>
    <mergeCell ref="A2:E2"/>
    <mergeCell ref="A4:E4"/>
    <mergeCell ref="C5:D5"/>
    <mergeCell ref="C6:D7"/>
    <mergeCell ref="A34:B34"/>
  </mergeCells>
  <pageMargins left="0.7" right="0.7" top="0.75" bottom="0.75" header="0.3" footer="0.3"/>
  <pageSetup paperSize="9" scale="44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4"/>
  <sheetViews>
    <sheetView rightToLeft="1" zoomScaleNormal="100" workbookViewId="0">
      <selection activeCell="E35" sqref="E35"/>
    </sheetView>
  </sheetViews>
  <sheetFormatPr defaultRowHeight="14" x14ac:dyDescent="0.3"/>
  <cols>
    <col min="1" max="1" width="25.58203125" customWidth="1"/>
    <col min="2" max="3" width="20.58203125" customWidth="1"/>
    <col min="4" max="4" width="15.58203125" customWidth="1"/>
    <col min="5" max="5" width="53.58203125" customWidth="1"/>
  </cols>
  <sheetData>
    <row r="1" spans="1:11" ht="13.75" customHeight="1" thickBot="1" x14ac:dyDescent="0.35"/>
    <row r="2" spans="1:11" ht="35.15" customHeight="1" thickTop="1" thickBot="1" x14ac:dyDescent="0.6">
      <c r="A2" s="293" t="s">
        <v>2</v>
      </c>
      <c r="B2" s="294"/>
      <c r="C2" s="294"/>
      <c r="D2" s="294"/>
      <c r="E2" s="295"/>
      <c r="F2" s="34"/>
      <c r="G2" s="34"/>
      <c r="H2" s="130"/>
      <c r="I2" s="131"/>
    </row>
    <row r="3" spans="1:11" ht="13.75" customHeight="1" thickTop="1" thickBot="1" x14ac:dyDescent="0.4">
      <c r="A3" s="77"/>
      <c r="B3" s="78"/>
      <c r="C3" s="78"/>
      <c r="D3" s="78"/>
      <c r="E3" s="78"/>
      <c r="F3" s="66"/>
      <c r="G3" s="66"/>
      <c r="H3" s="66"/>
      <c r="I3" s="132"/>
    </row>
    <row r="4" spans="1:11" ht="35.15" customHeight="1" thickTop="1" thickBot="1" x14ac:dyDescent="0.4">
      <c r="A4" s="296" t="s">
        <v>145</v>
      </c>
      <c r="B4" s="297"/>
      <c r="C4" s="297"/>
      <c r="D4" s="297"/>
      <c r="E4" s="298"/>
      <c r="F4" s="66"/>
      <c r="G4" s="66"/>
      <c r="H4" s="66"/>
      <c r="I4" s="132"/>
    </row>
    <row r="5" spans="1:11" ht="50.15" customHeight="1" thickTop="1" thickBot="1" x14ac:dyDescent="0.4">
      <c r="A5" s="58" t="s">
        <v>3</v>
      </c>
      <c r="B5" s="59" t="s">
        <v>15</v>
      </c>
      <c r="C5" s="299" t="s">
        <v>13</v>
      </c>
      <c r="D5" s="300"/>
      <c r="E5" s="60" t="s">
        <v>14</v>
      </c>
      <c r="F5" s="66"/>
      <c r="G5" s="66"/>
      <c r="H5" s="66"/>
      <c r="I5" s="132"/>
    </row>
    <row r="6" spans="1:11" ht="30" customHeight="1" thickTop="1" thickBot="1" x14ac:dyDescent="0.4">
      <c r="A6" s="61" t="s">
        <v>42</v>
      </c>
      <c r="B6" s="61" t="s">
        <v>33</v>
      </c>
      <c r="C6" s="301">
        <v>45839</v>
      </c>
      <c r="D6" s="302"/>
      <c r="E6" s="61" t="s">
        <v>2</v>
      </c>
      <c r="F6" s="66"/>
      <c r="G6" s="66"/>
      <c r="H6" s="66"/>
      <c r="I6" s="132"/>
    </row>
    <row r="7" spans="1:11" ht="30" customHeight="1" thickTop="1" thickBot="1" x14ac:dyDescent="0.4">
      <c r="A7" s="61" t="s">
        <v>4</v>
      </c>
      <c r="B7" s="61" t="s">
        <v>5</v>
      </c>
      <c r="C7" s="303"/>
      <c r="D7" s="304"/>
      <c r="E7" s="62" t="s">
        <v>256</v>
      </c>
      <c r="F7" s="66"/>
      <c r="G7" s="66"/>
      <c r="H7" s="66"/>
      <c r="I7" s="132"/>
    </row>
    <row r="8" spans="1:11" ht="13.75" customHeight="1" thickTop="1" x14ac:dyDescent="0.35">
      <c r="A8" s="63"/>
      <c r="B8" s="64"/>
      <c r="C8" s="64"/>
      <c r="D8" s="64"/>
      <c r="E8" s="64"/>
      <c r="F8" s="66"/>
      <c r="G8" s="66"/>
      <c r="H8" s="66"/>
      <c r="I8" s="132"/>
    </row>
    <row r="9" spans="1:11" ht="13.75" customHeight="1" thickBot="1" x14ac:dyDescent="0.4">
      <c r="A9" s="65"/>
      <c r="B9" s="66"/>
      <c r="C9" s="66"/>
      <c r="D9" s="66"/>
      <c r="E9" s="66"/>
      <c r="F9" s="66"/>
      <c r="G9" s="66"/>
      <c r="H9" s="66"/>
      <c r="I9" s="132"/>
    </row>
    <row r="10" spans="1:11" ht="35.15" customHeight="1" thickBot="1" x14ac:dyDescent="0.4">
      <c r="A10" s="153" t="s">
        <v>0</v>
      </c>
      <c r="B10" s="154" t="s">
        <v>6</v>
      </c>
      <c r="C10" s="155" t="s">
        <v>9</v>
      </c>
      <c r="D10" s="156" t="s">
        <v>35</v>
      </c>
      <c r="E10" s="157" t="s">
        <v>10</v>
      </c>
      <c r="F10" s="66"/>
      <c r="G10" s="66"/>
      <c r="H10" s="66"/>
      <c r="I10" s="132"/>
      <c r="K10" t="s">
        <v>51</v>
      </c>
    </row>
    <row r="11" spans="1:11" ht="35.15" customHeight="1" thickTop="1" x14ac:dyDescent="0.35">
      <c r="A11" s="368">
        <v>45840</v>
      </c>
      <c r="B11" s="366" t="s">
        <v>7</v>
      </c>
      <c r="C11" s="74">
        <v>2</v>
      </c>
      <c r="D11" s="74" t="s">
        <v>36</v>
      </c>
      <c r="E11" s="158" t="s">
        <v>149</v>
      </c>
      <c r="F11" s="66"/>
      <c r="G11" s="66"/>
      <c r="H11" s="66"/>
      <c r="I11" s="132"/>
    </row>
    <row r="12" spans="1:11" ht="35.15" customHeight="1" x14ac:dyDescent="0.35">
      <c r="A12" s="369"/>
      <c r="B12" s="370"/>
      <c r="C12" s="84">
        <v>2</v>
      </c>
      <c r="D12" s="84" t="s">
        <v>36</v>
      </c>
      <c r="E12" s="159" t="s">
        <v>148</v>
      </c>
      <c r="F12" s="66"/>
      <c r="G12" s="66"/>
      <c r="H12" s="66"/>
      <c r="I12" s="132"/>
    </row>
    <row r="13" spans="1:11" ht="35.15" customHeight="1" x14ac:dyDescent="0.35">
      <c r="A13" s="371"/>
      <c r="B13" s="367"/>
      <c r="C13" s="84">
        <v>3</v>
      </c>
      <c r="D13" s="84" t="s">
        <v>36</v>
      </c>
      <c r="E13" s="137" t="s">
        <v>151</v>
      </c>
      <c r="F13" s="66"/>
      <c r="G13" s="66"/>
      <c r="H13" s="66"/>
      <c r="I13" s="132"/>
    </row>
    <row r="14" spans="1:11" ht="35.15" customHeight="1" x14ac:dyDescent="0.35">
      <c r="A14" s="368">
        <v>45844</v>
      </c>
      <c r="B14" s="366" t="s">
        <v>17</v>
      </c>
      <c r="C14" s="74">
        <v>2</v>
      </c>
      <c r="D14" s="74" t="s">
        <v>36</v>
      </c>
      <c r="E14" s="137" t="s">
        <v>146</v>
      </c>
      <c r="F14" s="66"/>
      <c r="G14" s="66"/>
      <c r="H14" s="66"/>
      <c r="I14" s="132"/>
    </row>
    <row r="15" spans="1:11" ht="35.15" customHeight="1" x14ac:dyDescent="0.35">
      <c r="A15" s="369"/>
      <c r="B15" s="370"/>
      <c r="C15" s="84">
        <v>2</v>
      </c>
      <c r="D15" s="84" t="s">
        <v>36</v>
      </c>
      <c r="E15" s="137" t="s">
        <v>150</v>
      </c>
      <c r="F15" s="66"/>
      <c r="G15" s="66"/>
      <c r="H15" s="66"/>
      <c r="I15" s="132"/>
    </row>
    <row r="16" spans="1:11" ht="35.15" customHeight="1" x14ac:dyDescent="0.35">
      <c r="A16" s="371"/>
      <c r="B16" s="367"/>
      <c r="C16" s="84">
        <v>3</v>
      </c>
      <c r="D16" s="84" t="s">
        <v>36</v>
      </c>
      <c r="E16" s="137" t="s">
        <v>147</v>
      </c>
      <c r="F16" s="66"/>
      <c r="G16" s="66"/>
      <c r="H16" s="66"/>
      <c r="I16" s="132"/>
    </row>
    <row r="17" spans="1:11" ht="50.15" customHeight="1" x14ac:dyDescent="0.35">
      <c r="A17" s="368">
        <v>45845</v>
      </c>
      <c r="B17" s="366" t="s">
        <v>34</v>
      </c>
      <c r="C17" s="74">
        <v>2</v>
      </c>
      <c r="D17" s="74" t="s">
        <v>37</v>
      </c>
      <c r="E17" s="159" t="s">
        <v>153</v>
      </c>
      <c r="F17" s="66"/>
      <c r="G17" s="66"/>
      <c r="H17" s="66"/>
      <c r="I17" s="132"/>
    </row>
    <row r="18" spans="1:11" ht="35.15" customHeight="1" x14ac:dyDescent="0.35">
      <c r="A18" s="369"/>
      <c r="B18" s="370"/>
      <c r="C18" s="74">
        <v>2</v>
      </c>
      <c r="D18" s="74" t="s">
        <v>37</v>
      </c>
      <c r="E18" s="137" t="s">
        <v>152</v>
      </c>
      <c r="F18" s="66"/>
      <c r="G18" s="66"/>
      <c r="H18" s="66"/>
      <c r="I18" s="132"/>
    </row>
    <row r="19" spans="1:11" ht="35.15" customHeight="1" x14ac:dyDescent="0.35">
      <c r="A19" s="371"/>
      <c r="B19" s="367"/>
      <c r="C19" s="74">
        <v>1</v>
      </c>
      <c r="D19" s="74" t="s">
        <v>37</v>
      </c>
      <c r="E19" s="137" t="s">
        <v>154</v>
      </c>
      <c r="F19" s="66"/>
      <c r="G19" s="66"/>
      <c r="H19" s="66"/>
      <c r="I19" s="132"/>
    </row>
    <row r="20" spans="1:11" ht="35.15" customHeight="1" x14ac:dyDescent="0.35">
      <c r="A20" s="73">
        <v>45846</v>
      </c>
      <c r="B20" s="74" t="s">
        <v>40</v>
      </c>
      <c r="C20" s="74">
        <v>9</v>
      </c>
      <c r="D20" s="74" t="s">
        <v>37</v>
      </c>
      <c r="E20" s="390" t="s">
        <v>155</v>
      </c>
      <c r="F20" s="66"/>
      <c r="G20" s="66"/>
      <c r="H20" s="66"/>
      <c r="I20" s="132"/>
    </row>
    <row r="21" spans="1:11" ht="35.15" customHeight="1" x14ac:dyDescent="0.35">
      <c r="A21" s="73">
        <v>45848</v>
      </c>
      <c r="B21" s="74" t="s">
        <v>8</v>
      </c>
      <c r="C21" s="74">
        <v>7</v>
      </c>
      <c r="D21" s="74" t="s">
        <v>37</v>
      </c>
      <c r="E21" s="391"/>
      <c r="F21" s="66"/>
      <c r="G21" s="66"/>
      <c r="H21" s="66"/>
      <c r="I21" s="132"/>
    </row>
    <row r="22" spans="1:11" ht="35.15" customHeight="1" x14ac:dyDescent="0.35">
      <c r="A22" s="368">
        <v>45851</v>
      </c>
      <c r="B22" s="366" t="s">
        <v>17</v>
      </c>
      <c r="C22" s="74">
        <v>2</v>
      </c>
      <c r="D22" s="74" t="s">
        <v>36</v>
      </c>
      <c r="E22" s="137" t="s">
        <v>156</v>
      </c>
      <c r="F22" s="66"/>
      <c r="G22" s="66"/>
      <c r="H22" s="66"/>
      <c r="I22" s="132"/>
    </row>
    <row r="23" spans="1:11" ht="35.15" customHeight="1" x14ac:dyDescent="0.35">
      <c r="A23" s="369"/>
      <c r="B23" s="370"/>
      <c r="C23" s="74">
        <v>1</v>
      </c>
      <c r="D23" s="74" t="s">
        <v>36</v>
      </c>
      <c r="E23" s="137" t="s">
        <v>154</v>
      </c>
      <c r="F23" s="66"/>
      <c r="G23" s="66"/>
      <c r="H23" s="66"/>
      <c r="I23" s="132"/>
    </row>
    <row r="24" spans="1:11" ht="37" customHeight="1" thickBot="1" x14ac:dyDescent="0.4">
      <c r="A24" s="371"/>
      <c r="B24" s="367"/>
      <c r="C24" s="74">
        <v>3</v>
      </c>
      <c r="D24" s="74" t="s">
        <v>36</v>
      </c>
      <c r="E24" s="137" t="s">
        <v>157</v>
      </c>
      <c r="F24" s="66"/>
      <c r="G24" s="66"/>
      <c r="H24" s="137"/>
      <c r="I24" s="132"/>
    </row>
    <row r="25" spans="1:11" ht="37" customHeight="1" thickTop="1" thickBot="1" x14ac:dyDescent="0.4">
      <c r="A25" s="368">
        <v>45853</v>
      </c>
      <c r="B25" s="366" t="s">
        <v>40</v>
      </c>
      <c r="C25" s="84">
        <v>3</v>
      </c>
      <c r="D25" s="84" t="s">
        <v>37</v>
      </c>
      <c r="E25" s="159" t="s">
        <v>158</v>
      </c>
      <c r="F25" s="66"/>
      <c r="G25" s="66"/>
      <c r="H25" s="66"/>
      <c r="I25" s="132"/>
      <c r="K25" s="116"/>
    </row>
    <row r="26" spans="1:11" ht="37" customHeight="1" thickTop="1" x14ac:dyDescent="0.35">
      <c r="A26" s="369"/>
      <c r="B26" s="370"/>
      <c r="C26" s="74">
        <v>3</v>
      </c>
      <c r="D26" s="74" t="s">
        <v>37</v>
      </c>
      <c r="E26" s="160" t="s">
        <v>167</v>
      </c>
      <c r="F26" s="66"/>
      <c r="G26" s="66"/>
      <c r="H26" s="66"/>
      <c r="I26" s="132"/>
    </row>
    <row r="27" spans="1:11" ht="37" customHeight="1" x14ac:dyDescent="0.35">
      <c r="A27" s="369"/>
      <c r="B27" s="370"/>
      <c r="C27" s="82">
        <v>4</v>
      </c>
      <c r="D27" s="82" t="s">
        <v>37</v>
      </c>
      <c r="E27" s="161" t="s">
        <v>159</v>
      </c>
      <c r="F27" s="66"/>
      <c r="G27" s="66"/>
      <c r="H27" s="66"/>
      <c r="I27" s="132"/>
    </row>
    <row r="28" spans="1:11" ht="37" customHeight="1" x14ac:dyDescent="0.35">
      <c r="A28" s="368">
        <v>45855</v>
      </c>
      <c r="B28" s="366" t="s">
        <v>8</v>
      </c>
      <c r="C28" s="74">
        <v>2</v>
      </c>
      <c r="D28" s="74" t="s">
        <v>37</v>
      </c>
      <c r="E28" s="137" t="s">
        <v>160</v>
      </c>
      <c r="F28" s="66"/>
      <c r="G28" s="66"/>
      <c r="H28" s="66"/>
      <c r="I28" s="132"/>
    </row>
    <row r="29" spans="1:11" ht="50.15" customHeight="1" x14ac:dyDescent="0.35">
      <c r="A29" s="371"/>
      <c r="B29" s="367"/>
      <c r="C29" s="74">
        <v>3</v>
      </c>
      <c r="D29" s="74" t="s">
        <v>37</v>
      </c>
      <c r="E29" s="159" t="s">
        <v>161</v>
      </c>
      <c r="F29" s="66"/>
      <c r="G29" s="66"/>
      <c r="H29" s="66"/>
      <c r="I29" s="132"/>
    </row>
    <row r="30" spans="1:11" ht="37" customHeight="1" x14ac:dyDescent="0.35">
      <c r="A30" s="368">
        <v>45858</v>
      </c>
      <c r="B30" s="366" t="s">
        <v>17</v>
      </c>
      <c r="C30" s="74">
        <v>1</v>
      </c>
      <c r="D30" s="74" t="s">
        <v>36</v>
      </c>
      <c r="E30" s="159" t="s">
        <v>162</v>
      </c>
      <c r="F30" s="66"/>
      <c r="G30" s="66"/>
      <c r="H30" s="66"/>
      <c r="I30" s="132"/>
    </row>
    <row r="31" spans="1:11" ht="37" customHeight="1" x14ac:dyDescent="0.35">
      <c r="A31" s="369"/>
      <c r="B31" s="370"/>
      <c r="C31" s="84">
        <v>1</v>
      </c>
      <c r="D31" s="84" t="s">
        <v>36</v>
      </c>
      <c r="E31" s="159" t="s">
        <v>168</v>
      </c>
      <c r="F31" s="66"/>
      <c r="G31" s="66"/>
      <c r="H31" s="66"/>
      <c r="I31" s="132"/>
    </row>
    <row r="32" spans="1:11" ht="37" customHeight="1" x14ac:dyDescent="0.35">
      <c r="A32" s="371"/>
      <c r="B32" s="367"/>
      <c r="C32" s="74">
        <v>5</v>
      </c>
      <c r="D32" s="74" t="s">
        <v>36</v>
      </c>
      <c r="E32" s="137" t="s">
        <v>164</v>
      </c>
      <c r="F32" s="66"/>
      <c r="G32" s="66"/>
      <c r="H32" s="66"/>
      <c r="I32" s="132"/>
    </row>
    <row r="33" spans="1:9" ht="37" customHeight="1" x14ac:dyDescent="0.35">
      <c r="A33" s="368">
        <v>45859</v>
      </c>
      <c r="B33" s="366" t="s">
        <v>34</v>
      </c>
      <c r="C33" s="74">
        <v>7</v>
      </c>
      <c r="D33" s="74" t="s">
        <v>37</v>
      </c>
      <c r="E33" s="137" t="s">
        <v>163</v>
      </c>
      <c r="F33" s="66"/>
      <c r="G33" s="66"/>
      <c r="H33" s="66"/>
      <c r="I33" s="132"/>
    </row>
    <row r="34" spans="1:9" ht="50.15" customHeight="1" x14ac:dyDescent="0.35">
      <c r="A34" s="371"/>
      <c r="B34" s="367"/>
      <c r="C34" s="74">
        <v>2</v>
      </c>
      <c r="D34" s="74" t="s">
        <v>37</v>
      </c>
      <c r="E34" s="159" t="s">
        <v>169</v>
      </c>
      <c r="F34" s="66"/>
      <c r="G34" s="66"/>
      <c r="H34" s="66"/>
      <c r="I34" s="132"/>
    </row>
    <row r="35" spans="1:9" ht="37" customHeight="1" x14ac:dyDescent="0.35">
      <c r="A35" s="73">
        <v>45862</v>
      </c>
      <c r="B35" s="74" t="s">
        <v>8</v>
      </c>
      <c r="C35" s="74">
        <v>8</v>
      </c>
      <c r="D35" s="74" t="s">
        <v>37</v>
      </c>
      <c r="E35" s="137" t="s">
        <v>165</v>
      </c>
      <c r="F35" s="66"/>
      <c r="G35" s="66"/>
      <c r="H35" s="66"/>
      <c r="I35" s="132"/>
    </row>
    <row r="36" spans="1:9" ht="35.15" customHeight="1" x14ac:dyDescent="0.35">
      <c r="A36" s="368">
        <v>45865</v>
      </c>
      <c r="B36" s="366" t="s">
        <v>17</v>
      </c>
      <c r="C36" s="74">
        <v>2</v>
      </c>
      <c r="D36" s="74" t="s">
        <v>36</v>
      </c>
      <c r="E36" s="137" t="s">
        <v>166</v>
      </c>
      <c r="F36" s="66"/>
      <c r="G36" s="66"/>
      <c r="H36" s="66"/>
      <c r="I36" s="132"/>
    </row>
    <row r="37" spans="1:9" ht="35.15" customHeight="1" x14ac:dyDescent="0.35">
      <c r="A37" s="369"/>
      <c r="B37" s="370"/>
      <c r="C37" s="366">
        <v>3</v>
      </c>
      <c r="D37" s="366" t="s">
        <v>36</v>
      </c>
      <c r="E37" s="159" t="s">
        <v>171</v>
      </c>
      <c r="F37" s="66"/>
      <c r="G37" s="66"/>
      <c r="H37" s="66"/>
      <c r="I37" s="132"/>
    </row>
    <row r="38" spans="1:9" ht="35.15" customHeight="1" x14ac:dyDescent="0.35">
      <c r="A38" s="371"/>
      <c r="B38" s="367"/>
      <c r="C38" s="367"/>
      <c r="D38" s="367"/>
      <c r="E38" s="159" t="s">
        <v>170</v>
      </c>
      <c r="F38" s="66"/>
      <c r="G38" s="66"/>
      <c r="H38" s="66"/>
      <c r="I38" s="132"/>
    </row>
    <row r="39" spans="1:9" ht="35.15" customHeight="1" x14ac:dyDescent="0.35">
      <c r="A39" s="151">
        <v>45866</v>
      </c>
      <c r="B39" s="152" t="s">
        <v>34</v>
      </c>
      <c r="C39" s="74">
        <v>1</v>
      </c>
      <c r="D39" s="74" t="s">
        <v>37</v>
      </c>
      <c r="E39" s="137" t="s">
        <v>172</v>
      </c>
      <c r="F39" s="66"/>
      <c r="G39" s="66"/>
      <c r="H39" s="66"/>
      <c r="I39" s="132"/>
    </row>
    <row r="40" spans="1:9" ht="35.15" customHeight="1" x14ac:dyDescent="0.35">
      <c r="A40" s="368">
        <v>45867</v>
      </c>
      <c r="B40" s="366" t="s">
        <v>40</v>
      </c>
      <c r="C40" s="74">
        <v>1</v>
      </c>
      <c r="D40" s="74" t="s">
        <v>37</v>
      </c>
      <c r="E40" s="137" t="s">
        <v>173</v>
      </c>
      <c r="F40" s="66"/>
      <c r="G40" s="66"/>
      <c r="H40" s="66"/>
      <c r="I40" s="132"/>
    </row>
    <row r="41" spans="1:9" ht="35.15" customHeight="1" x14ac:dyDescent="0.35">
      <c r="A41" s="371"/>
      <c r="B41" s="367"/>
      <c r="C41" s="74">
        <v>2</v>
      </c>
      <c r="D41" s="74" t="s">
        <v>37</v>
      </c>
      <c r="E41" s="159" t="s">
        <v>174</v>
      </c>
      <c r="F41" s="66"/>
      <c r="G41" s="66"/>
      <c r="H41" s="66"/>
      <c r="I41" s="132"/>
    </row>
    <row r="42" spans="1:9" ht="35.15" customHeight="1" x14ac:dyDescent="0.35">
      <c r="A42" s="151">
        <v>45868</v>
      </c>
      <c r="B42" s="152" t="s">
        <v>7</v>
      </c>
      <c r="C42" s="74">
        <v>2</v>
      </c>
      <c r="D42" s="74" t="s">
        <v>37</v>
      </c>
      <c r="E42" s="137" t="s">
        <v>175</v>
      </c>
      <c r="F42" s="66"/>
      <c r="G42" s="66"/>
      <c r="H42" s="66"/>
      <c r="I42" s="132"/>
    </row>
    <row r="43" spans="1:9" ht="35.15" customHeight="1" thickBot="1" x14ac:dyDescent="0.4">
      <c r="A43" s="151">
        <v>45869</v>
      </c>
      <c r="B43" s="152" t="s">
        <v>8</v>
      </c>
      <c r="C43" s="152">
        <v>6</v>
      </c>
      <c r="D43" s="152" t="s">
        <v>37</v>
      </c>
      <c r="E43" s="159" t="s">
        <v>176</v>
      </c>
      <c r="F43" s="66"/>
      <c r="G43" s="66"/>
      <c r="H43" s="66"/>
      <c r="I43" s="132"/>
    </row>
    <row r="44" spans="1:9" ht="35.15" customHeight="1" thickTop="1" thickBot="1" x14ac:dyDescent="0.55000000000000004">
      <c r="A44" s="308" t="s">
        <v>1</v>
      </c>
      <c r="B44" s="309"/>
      <c r="C44" s="162">
        <f>SUM(C11:C43)</f>
        <v>97</v>
      </c>
      <c r="D44" s="162">
        <f>+'יוני 2025  '!E24</f>
        <v>1326</v>
      </c>
      <c r="E44" s="163">
        <f>D44-C44</f>
        <v>1229</v>
      </c>
      <c r="F44" s="66"/>
      <c r="G44" s="66"/>
      <c r="H44" s="66"/>
      <c r="I44" s="132"/>
    </row>
    <row r="45" spans="1:9" ht="13.75" customHeight="1" thickTop="1" x14ac:dyDescent="0.35">
      <c r="A45" s="65"/>
      <c r="B45" s="66"/>
      <c r="C45" s="66"/>
      <c r="D45" s="66"/>
      <c r="E45" s="66"/>
      <c r="F45" s="66"/>
      <c r="G45" s="66"/>
      <c r="H45" s="66"/>
      <c r="I45" s="132"/>
    </row>
    <row r="46" spans="1:9" ht="13.75" customHeight="1" thickBot="1" x14ac:dyDescent="0.4">
      <c r="A46" s="65"/>
      <c r="B46" s="66"/>
      <c r="C46" s="66"/>
      <c r="D46" s="66"/>
      <c r="E46" s="66"/>
      <c r="F46" s="66"/>
      <c r="G46" s="66"/>
      <c r="H46" s="66"/>
      <c r="I46" s="132"/>
    </row>
    <row r="47" spans="1:9" ht="30" customHeight="1" thickTop="1" x14ac:dyDescent="0.4">
      <c r="A47" s="328" t="s">
        <v>18</v>
      </c>
      <c r="B47" s="329"/>
      <c r="C47" s="30"/>
      <c r="D47" s="53">
        <v>97</v>
      </c>
      <c r="E47" s="41"/>
      <c r="F47" s="42"/>
      <c r="G47" s="64"/>
      <c r="H47" s="64"/>
      <c r="I47" s="140"/>
    </row>
    <row r="48" spans="1:9" ht="30" customHeight="1" x14ac:dyDescent="0.4">
      <c r="A48" s="330" t="s">
        <v>19</v>
      </c>
      <c r="B48" s="331"/>
      <c r="C48" s="31"/>
      <c r="D48" s="26"/>
      <c r="E48" s="43"/>
      <c r="F48" s="44"/>
      <c r="G48" s="64"/>
      <c r="H48" s="64"/>
      <c r="I48" s="140"/>
    </row>
    <row r="49" spans="1:9" ht="30" customHeight="1" x14ac:dyDescent="0.4">
      <c r="A49" s="330" t="s">
        <v>20</v>
      </c>
      <c r="B49" s="331"/>
      <c r="C49" s="31"/>
      <c r="D49" s="26"/>
      <c r="E49" s="43"/>
      <c r="F49" s="44"/>
      <c r="G49" s="64"/>
      <c r="H49" s="64"/>
      <c r="I49" s="140"/>
    </row>
    <row r="50" spans="1:9" ht="30" customHeight="1" thickBot="1" x14ac:dyDescent="0.45">
      <c r="A50" s="332" t="s">
        <v>21</v>
      </c>
      <c r="B50" s="333"/>
      <c r="C50" s="32"/>
      <c r="D50" s="29"/>
      <c r="E50" s="43"/>
      <c r="F50" s="44"/>
      <c r="G50" s="64"/>
      <c r="H50" s="64"/>
      <c r="I50" s="140"/>
    </row>
    <row r="51" spans="1:9" ht="30" customHeight="1" thickTop="1" thickBot="1" x14ac:dyDescent="0.45">
      <c r="A51" s="334" t="s">
        <v>20</v>
      </c>
      <c r="B51" s="335"/>
      <c r="C51" s="33"/>
      <c r="D51" s="54">
        <f>D50+D49</f>
        <v>0</v>
      </c>
      <c r="E51" s="43"/>
      <c r="F51" s="42"/>
      <c r="G51" s="64"/>
      <c r="H51" s="64"/>
      <c r="I51" s="140"/>
    </row>
    <row r="52" spans="1:9" ht="13.75" customHeight="1" thickTop="1" thickBot="1" x14ac:dyDescent="0.5">
      <c r="A52" s="88"/>
      <c r="B52" s="89"/>
      <c r="C52" s="89"/>
      <c r="D52" s="89"/>
      <c r="E52" s="89"/>
      <c r="F52" s="89"/>
      <c r="G52" s="89"/>
      <c r="H52" s="89"/>
      <c r="I52" s="141"/>
    </row>
    <row r="53" spans="1:9" ht="25" customHeight="1" thickTop="1" thickBot="1" x14ac:dyDescent="0.45">
      <c r="A53" s="387" t="s">
        <v>22</v>
      </c>
      <c r="B53" s="388"/>
      <c r="C53" s="388"/>
      <c r="D53" s="388"/>
      <c r="E53" s="388"/>
      <c r="F53" s="388"/>
      <c r="G53" s="388"/>
      <c r="H53" s="388"/>
      <c r="I53" s="389"/>
    </row>
    <row r="54" spans="1:9" ht="25" customHeight="1" thickTop="1" thickBot="1" x14ac:dyDescent="0.65">
      <c r="A54" s="375" t="s">
        <v>23</v>
      </c>
      <c r="B54" s="376"/>
      <c r="C54" s="142"/>
      <c r="D54" s="143"/>
      <c r="E54" s="144"/>
      <c r="F54" s="145"/>
      <c r="G54" s="41" t="s">
        <v>24</v>
      </c>
      <c r="H54" s="377">
        <v>45868</v>
      </c>
      <c r="I54" s="378"/>
    </row>
    <row r="55" spans="1:9" ht="25" customHeight="1" thickTop="1" thickBot="1" x14ac:dyDescent="0.65">
      <c r="A55" s="379" t="s">
        <v>25</v>
      </c>
      <c r="B55" s="380"/>
      <c r="C55" s="42"/>
      <c r="D55" s="381" t="s">
        <v>26</v>
      </c>
      <c r="E55" s="381"/>
      <c r="F55" s="381"/>
      <c r="G55" s="381"/>
      <c r="H55" s="381"/>
      <c r="I55" s="140"/>
    </row>
    <row r="56" spans="1:9" ht="25" customHeight="1" thickTop="1" x14ac:dyDescent="0.4">
      <c r="A56" s="382" t="s">
        <v>27</v>
      </c>
      <c r="B56" s="383"/>
      <c r="C56" s="383"/>
      <c r="D56" s="383"/>
      <c r="E56" s="383"/>
      <c r="F56" s="145"/>
      <c r="G56" s="383" t="s">
        <v>28</v>
      </c>
      <c r="H56" s="383"/>
      <c r="I56" s="384"/>
    </row>
    <row r="57" spans="1:9" ht="25" customHeight="1" thickBot="1" x14ac:dyDescent="0.45">
      <c r="A57" s="382" t="s">
        <v>29</v>
      </c>
      <c r="B57" s="383"/>
      <c r="C57" s="383"/>
      <c r="D57" s="383"/>
      <c r="E57" s="41" t="s">
        <v>30</v>
      </c>
      <c r="F57" s="41"/>
      <c r="G57" s="385"/>
      <c r="H57" s="385"/>
      <c r="I57" s="146"/>
    </row>
    <row r="58" spans="1:9" ht="25" customHeight="1" thickTop="1" thickBot="1" x14ac:dyDescent="0.45">
      <c r="A58" s="379" t="s">
        <v>30</v>
      </c>
      <c r="B58" s="380"/>
      <c r="C58" s="42"/>
      <c r="D58" s="147"/>
      <c r="E58" s="41" t="s">
        <v>31</v>
      </c>
      <c r="F58" s="41"/>
      <c r="G58" s="386"/>
      <c r="H58" s="386"/>
      <c r="I58" s="140"/>
    </row>
    <row r="59" spans="1:9" ht="25" customHeight="1" thickTop="1" thickBot="1" x14ac:dyDescent="0.45">
      <c r="A59" s="379" t="s">
        <v>23</v>
      </c>
      <c r="B59" s="380"/>
      <c r="C59" s="42"/>
      <c r="D59" s="147"/>
      <c r="E59" s="41" t="s">
        <v>23</v>
      </c>
      <c r="F59" s="41"/>
      <c r="G59" s="147"/>
      <c r="H59" s="41" t="s">
        <v>0</v>
      </c>
      <c r="I59" s="148"/>
    </row>
    <row r="60" spans="1:9" ht="25" customHeight="1" thickTop="1" thickBot="1" x14ac:dyDescent="0.45">
      <c r="A60" s="372" t="s">
        <v>52</v>
      </c>
      <c r="B60" s="373"/>
      <c r="C60" s="373"/>
      <c r="D60" s="373"/>
      <c r="E60" s="373"/>
      <c r="F60" s="373"/>
      <c r="G60" s="373"/>
      <c r="H60" s="373"/>
      <c r="I60" s="374"/>
    </row>
    <row r="61" spans="1:9" ht="14.5" customHeight="1" thickTop="1" x14ac:dyDescent="0.35">
      <c r="A61" s="66"/>
      <c r="B61" s="66"/>
      <c r="C61" s="66"/>
      <c r="D61" s="66"/>
      <c r="E61" s="66"/>
      <c r="F61" s="66"/>
      <c r="G61" s="66"/>
      <c r="H61" s="66"/>
      <c r="I61" s="66"/>
    </row>
    <row r="62" spans="1:9" ht="14.5" x14ac:dyDescent="0.35">
      <c r="A62" s="66"/>
      <c r="B62" s="66"/>
      <c r="C62" s="66"/>
      <c r="D62" s="66"/>
      <c r="E62" s="66"/>
      <c r="F62" s="66"/>
      <c r="G62" s="66"/>
      <c r="H62" s="66"/>
      <c r="I62" s="66"/>
    </row>
    <row r="63" spans="1:9" ht="14.5" x14ac:dyDescent="0.35">
      <c r="A63" s="66"/>
      <c r="B63" s="66"/>
      <c r="C63" s="66"/>
      <c r="D63" s="66"/>
      <c r="E63" s="66"/>
      <c r="F63" s="66"/>
      <c r="G63" s="66"/>
      <c r="H63" s="66"/>
      <c r="I63" s="66"/>
    </row>
    <row r="64" spans="1:9" ht="14.5" x14ac:dyDescent="0.35">
      <c r="A64" s="66"/>
      <c r="B64" s="66"/>
      <c r="C64" s="66"/>
      <c r="D64" s="66"/>
      <c r="E64" s="66"/>
      <c r="F64" s="66"/>
      <c r="G64" s="66"/>
      <c r="H64" s="66"/>
      <c r="I64" s="66"/>
    </row>
  </sheetData>
  <mergeCells count="46">
    <mergeCell ref="E20:E21"/>
    <mergeCell ref="A22:A24"/>
    <mergeCell ref="B22:B24"/>
    <mergeCell ref="A17:A19"/>
    <mergeCell ref="B17:B19"/>
    <mergeCell ref="A2:E2"/>
    <mergeCell ref="A4:E4"/>
    <mergeCell ref="C5:D5"/>
    <mergeCell ref="C6:D7"/>
    <mergeCell ref="A14:A16"/>
    <mergeCell ref="B14:B16"/>
    <mergeCell ref="A11:A13"/>
    <mergeCell ref="B11:B13"/>
    <mergeCell ref="A53:I53"/>
    <mergeCell ref="A30:A32"/>
    <mergeCell ref="B30:B32"/>
    <mergeCell ref="A44:B44"/>
    <mergeCell ref="A47:B47"/>
    <mergeCell ref="A48:B48"/>
    <mergeCell ref="A49:B49"/>
    <mergeCell ref="A50:B50"/>
    <mergeCell ref="A51:B51"/>
    <mergeCell ref="A33:A34"/>
    <mergeCell ref="B33:B34"/>
    <mergeCell ref="A36:A38"/>
    <mergeCell ref="B36:B38"/>
    <mergeCell ref="C37:C38"/>
    <mergeCell ref="D37:D38"/>
    <mergeCell ref="A40:A41"/>
    <mergeCell ref="A60:I60"/>
    <mergeCell ref="A54:B54"/>
    <mergeCell ref="H54:I54"/>
    <mergeCell ref="A55:B55"/>
    <mergeCell ref="D55:H55"/>
    <mergeCell ref="A56:E56"/>
    <mergeCell ref="G56:I56"/>
    <mergeCell ref="A57:D57"/>
    <mergeCell ref="G57:H57"/>
    <mergeCell ref="A58:B58"/>
    <mergeCell ref="G58:H58"/>
    <mergeCell ref="A59:B59"/>
    <mergeCell ref="B40:B41"/>
    <mergeCell ref="A25:A27"/>
    <mergeCell ref="B25:B27"/>
    <mergeCell ref="A28:A29"/>
    <mergeCell ref="B28:B29"/>
  </mergeCells>
  <pageMargins left="0.7" right="0.7" top="0.75" bottom="0.75" header="0.3" footer="0.3"/>
  <pageSetup paperSize="9" scale="37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5"/>
  <sheetViews>
    <sheetView rightToLeft="1" topLeftCell="A31" zoomScaleNormal="100" workbookViewId="0">
      <selection activeCell="A11" sqref="A11:A13"/>
    </sheetView>
  </sheetViews>
  <sheetFormatPr defaultRowHeight="14" x14ac:dyDescent="0.3"/>
  <cols>
    <col min="1" max="1" width="25.58203125" customWidth="1"/>
    <col min="2" max="3" width="20.58203125" customWidth="1"/>
    <col min="4" max="4" width="15.58203125" customWidth="1"/>
    <col min="5" max="5" width="53.58203125" customWidth="1"/>
  </cols>
  <sheetData>
    <row r="1" spans="1:11" ht="13.75" customHeight="1" thickBot="1" x14ac:dyDescent="0.35"/>
    <row r="2" spans="1:11" ht="35.15" customHeight="1" thickTop="1" thickBot="1" x14ac:dyDescent="0.6">
      <c r="A2" s="293" t="s">
        <v>2</v>
      </c>
      <c r="B2" s="294"/>
      <c r="C2" s="294"/>
      <c r="D2" s="294"/>
      <c r="E2" s="295"/>
      <c r="F2" s="34"/>
      <c r="G2" s="34"/>
      <c r="H2" s="130"/>
      <c r="I2" s="131"/>
    </row>
    <row r="3" spans="1:11" ht="13.75" customHeight="1" thickTop="1" thickBot="1" x14ac:dyDescent="0.4">
      <c r="A3" s="77"/>
      <c r="B3" s="78"/>
      <c r="C3" s="78"/>
      <c r="D3" s="78"/>
      <c r="E3" s="78"/>
      <c r="F3" s="66"/>
      <c r="G3" s="66"/>
      <c r="H3" s="66"/>
      <c r="I3" s="132"/>
    </row>
    <row r="4" spans="1:11" ht="35.15" customHeight="1" thickTop="1" thickBot="1" x14ac:dyDescent="0.4">
      <c r="A4" s="296" t="s">
        <v>178</v>
      </c>
      <c r="B4" s="297"/>
      <c r="C4" s="297"/>
      <c r="D4" s="297"/>
      <c r="E4" s="298"/>
      <c r="F4" s="66"/>
      <c r="G4" s="66"/>
      <c r="H4" s="66"/>
      <c r="I4" s="132"/>
    </row>
    <row r="5" spans="1:11" ht="50.15" customHeight="1" thickTop="1" thickBot="1" x14ac:dyDescent="0.4">
      <c r="A5" s="58" t="s">
        <v>3</v>
      </c>
      <c r="B5" s="59" t="s">
        <v>15</v>
      </c>
      <c r="C5" s="299" t="s">
        <v>13</v>
      </c>
      <c r="D5" s="300"/>
      <c r="E5" s="60" t="s">
        <v>14</v>
      </c>
      <c r="F5" s="66"/>
      <c r="G5" s="66"/>
      <c r="H5" s="66"/>
      <c r="I5" s="132"/>
    </row>
    <row r="6" spans="1:11" ht="30" customHeight="1" thickTop="1" thickBot="1" x14ac:dyDescent="0.4">
      <c r="A6" s="61" t="s">
        <v>42</v>
      </c>
      <c r="B6" s="61" t="s">
        <v>33</v>
      </c>
      <c r="C6" s="301">
        <v>45870</v>
      </c>
      <c r="D6" s="302"/>
      <c r="E6" s="61" t="s">
        <v>2</v>
      </c>
      <c r="F6" s="66"/>
      <c r="G6" s="66"/>
      <c r="H6" s="66"/>
      <c r="I6" s="132"/>
    </row>
    <row r="7" spans="1:11" ht="30" customHeight="1" thickTop="1" thickBot="1" x14ac:dyDescent="0.4">
      <c r="A7" s="61" t="s">
        <v>4</v>
      </c>
      <c r="B7" s="61" t="s">
        <v>5</v>
      </c>
      <c r="C7" s="303"/>
      <c r="D7" s="304"/>
      <c r="E7" s="62" t="s">
        <v>228</v>
      </c>
      <c r="F7" s="66"/>
      <c r="G7" s="66"/>
      <c r="H7" s="66"/>
      <c r="I7" s="132"/>
    </row>
    <row r="8" spans="1:11" ht="13.75" customHeight="1" thickTop="1" x14ac:dyDescent="0.35">
      <c r="A8" s="63"/>
      <c r="B8" s="64"/>
      <c r="C8" s="64"/>
      <c r="D8" s="64"/>
      <c r="E8" s="64"/>
      <c r="F8" s="66"/>
      <c r="G8" s="66"/>
      <c r="H8" s="66"/>
      <c r="I8" s="132"/>
    </row>
    <row r="9" spans="1:11" ht="13.75" customHeight="1" thickBot="1" x14ac:dyDescent="0.4">
      <c r="A9" s="65"/>
      <c r="B9" s="66"/>
      <c r="C9" s="66"/>
      <c r="D9" s="66"/>
      <c r="E9" s="66"/>
      <c r="F9" s="66"/>
      <c r="G9" s="66"/>
      <c r="H9" s="66"/>
      <c r="I9" s="132"/>
    </row>
    <row r="10" spans="1:11" ht="35.15" customHeight="1" x14ac:dyDescent="0.35">
      <c r="A10" s="133" t="s">
        <v>0</v>
      </c>
      <c r="B10" s="134" t="s">
        <v>6</v>
      </c>
      <c r="C10" s="135" t="s">
        <v>9</v>
      </c>
      <c r="D10" s="134" t="s">
        <v>35</v>
      </c>
      <c r="E10" s="136" t="s">
        <v>10</v>
      </c>
      <c r="F10" s="66"/>
      <c r="G10" s="66"/>
      <c r="H10" s="66"/>
      <c r="I10" s="132"/>
      <c r="K10" t="s">
        <v>51</v>
      </c>
    </row>
    <row r="11" spans="1:11" ht="35.15" customHeight="1" x14ac:dyDescent="0.35">
      <c r="A11" s="392">
        <v>45872</v>
      </c>
      <c r="B11" s="393" t="s">
        <v>17</v>
      </c>
      <c r="C11" s="74">
        <v>6</v>
      </c>
      <c r="D11" s="74" t="s">
        <v>36</v>
      </c>
      <c r="E11" s="137" t="s">
        <v>187</v>
      </c>
      <c r="F11" s="66"/>
      <c r="G11" s="66"/>
      <c r="H11" s="66"/>
      <c r="I11" s="132"/>
    </row>
    <row r="12" spans="1:11" ht="35.15" customHeight="1" x14ac:dyDescent="0.35">
      <c r="A12" s="392"/>
      <c r="B12" s="393"/>
      <c r="C12" s="74">
        <v>1</v>
      </c>
      <c r="D12" s="74" t="s">
        <v>36</v>
      </c>
      <c r="E12" s="137" t="s">
        <v>179</v>
      </c>
      <c r="F12" s="66"/>
      <c r="G12" s="66"/>
      <c r="H12" s="66"/>
      <c r="I12" s="132"/>
    </row>
    <row r="13" spans="1:11" ht="35.15" customHeight="1" x14ac:dyDescent="0.35">
      <c r="A13" s="392"/>
      <c r="B13" s="393"/>
      <c r="C13" s="74">
        <v>1</v>
      </c>
      <c r="D13" s="74" t="s">
        <v>36</v>
      </c>
      <c r="E13" s="137" t="s">
        <v>182</v>
      </c>
      <c r="F13" s="66"/>
      <c r="G13" s="66"/>
      <c r="H13" s="66"/>
      <c r="I13" s="132"/>
    </row>
    <row r="14" spans="1:11" ht="35.15" customHeight="1" x14ac:dyDescent="0.35">
      <c r="A14" s="392">
        <v>45876</v>
      </c>
      <c r="B14" s="393" t="s">
        <v>8</v>
      </c>
      <c r="C14" s="74">
        <v>5</v>
      </c>
      <c r="D14" s="74" t="s">
        <v>37</v>
      </c>
      <c r="E14" s="137" t="s">
        <v>180</v>
      </c>
      <c r="F14" s="66"/>
      <c r="G14" s="66"/>
      <c r="H14" s="66"/>
      <c r="I14" s="132"/>
    </row>
    <row r="15" spans="1:11" ht="35.15" customHeight="1" x14ac:dyDescent="0.35">
      <c r="A15" s="392"/>
      <c r="B15" s="393"/>
      <c r="C15" s="74">
        <v>4</v>
      </c>
      <c r="D15" s="74" t="s">
        <v>37</v>
      </c>
      <c r="E15" s="137" t="s">
        <v>183</v>
      </c>
      <c r="F15" s="66"/>
      <c r="G15" s="66"/>
      <c r="H15" s="66"/>
      <c r="I15" s="132"/>
    </row>
    <row r="16" spans="1:11" ht="35.15" customHeight="1" x14ac:dyDescent="0.35">
      <c r="A16" s="392">
        <v>45879</v>
      </c>
      <c r="B16" s="393" t="s">
        <v>17</v>
      </c>
      <c r="C16" s="74">
        <v>6</v>
      </c>
      <c r="D16" s="74" t="s">
        <v>36</v>
      </c>
      <c r="E16" s="137" t="s">
        <v>181</v>
      </c>
      <c r="F16" s="66"/>
      <c r="G16" s="66"/>
      <c r="H16" s="66"/>
      <c r="I16" s="132"/>
    </row>
    <row r="17" spans="1:11" ht="35.15" customHeight="1" x14ac:dyDescent="0.35">
      <c r="A17" s="392"/>
      <c r="B17" s="393"/>
      <c r="C17" s="74">
        <v>2</v>
      </c>
      <c r="D17" s="74" t="s">
        <v>36</v>
      </c>
      <c r="E17" s="137" t="s">
        <v>184</v>
      </c>
      <c r="F17" s="66"/>
      <c r="G17" s="66"/>
      <c r="H17" s="66"/>
      <c r="I17" s="132"/>
    </row>
    <row r="18" spans="1:11" ht="35.15" customHeight="1" x14ac:dyDescent="0.35">
      <c r="A18" s="392">
        <v>45880</v>
      </c>
      <c r="B18" s="393" t="s">
        <v>34</v>
      </c>
      <c r="C18" s="74">
        <v>2</v>
      </c>
      <c r="D18" s="74" t="s">
        <v>37</v>
      </c>
      <c r="E18" s="137" t="s">
        <v>185</v>
      </c>
      <c r="F18" s="66"/>
      <c r="G18" s="66"/>
      <c r="H18" s="66"/>
      <c r="I18" s="132"/>
    </row>
    <row r="19" spans="1:11" ht="35.15" customHeight="1" x14ac:dyDescent="0.35">
      <c r="A19" s="392"/>
      <c r="B19" s="393"/>
      <c r="C19" s="74">
        <v>1</v>
      </c>
      <c r="D19" s="74" t="s">
        <v>37</v>
      </c>
      <c r="E19" s="137" t="s">
        <v>191</v>
      </c>
      <c r="F19" s="66"/>
      <c r="G19" s="66"/>
      <c r="H19" s="66"/>
      <c r="I19" s="132"/>
    </row>
    <row r="20" spans="1:11" ht="35.15" customHeight="1" thickBot="1" x14ac:dyDescent="0.4">
      <c r="A20" s="392">
        <v>45881</v>
      </c>
      <c r="B20" s="393" t="s">
        <v>40</v>
      </c>
      <c r="C20" s="74">
        <v>2</v>
      </c>
      <c r="D20" s="74" t="s">
        <v>37</v>
      </c>
      <c r="E20" s="137" t="s">
        <v>189</v>
      </c>
      <c r="F20" s="66"/>
      <c r="G20" s="66"/>
      <c r="H20" s="66"/>
      <c r="I20" s="132"/>
    </row>
    <row r="21" spans="1:11" ht="37" customHeight="1" thickTop="1" thickBot="1" x14ac:dyDescent="0.4">
      <c r="A21" s="392"/>
      <c r="B21" s="393"/>
      <c r="C21" s="74">
        <v>2</v>
      </c>
      <c r="D21" s="74" t="s">
        <v>37</v>
      </c>
      <c r="E21" s="137" t="s">
        <v>186</v>
      </c>
      <c r="F21" s="66"/>
      <c r="G21" s="66"/>
      <c r="H21" s="66"/>
      <c r="I21" s="132"/>
      <c r="K21" s="116"/>
    </row>
    <row r="22" spans="1:11" ht="37" customHeight="1" thickTop="1" x14ac:dyDescent="0.35">
      <c r="A22" s="73">
        <v>45883</v>
      </c>
      <c r="B22" s="74" t="s">
        <v>8</v>
      </c>
      <c r="C22" s="74">
        <v>9</v>
      </c>
      <c r="D22" s="74" t="s">
        <v>37</v>
      </c>
      <c r="E22" s="137" t="s">
        <v>193</v>
      </c>
      <c r="F22" s="66"/>
      <c r="G22" s="66"/>
      <c r="H22" s="66"/>
      <c r="I22" s="132"/>
      <c r="K22" s="129"/>
    </row>
    <row r="23" spans="1:11" ht="37" customHeight="1" x14ac:dyDescent="0.35">
      <c r="A23" s="392">
        <v>45887</v>
      </c>
      <c r="B23" s="393" t="s">
        <v>34</v>
      </c>
      <c r="C23" s="74">
        <v>5</v>
      </c>
      <c r="D23" s="74" t="s">
        <v>36</v>
      </c>
      <c r="E23" s="137" t="s">
        <v>188</v>
      </c>
      <c r="F23" s="66"/>
      <c r="G23" s="66"/>
      <c r="H23" s="66"/>
      <c r="I23" s="132"/>
    </row>
    <row r="24" spans="1:11" ht="37" customHeight="1" x14ac:dyDescent="0.35">
      <c r="A24" s="392"/>
      <c r="B24" s="393"/>
      <c r="C24" s="74">
        <v>1</v>
      </c>
      <c r="D24" s="74" t="s">
        <v>36</v>
      </c>
      <c r="E24" s="137" t="s">
        <v>192</v>
      </c>
      <c r="F24" s="66"/>
      <c r="G24" s="66"/>
      <c r="H24" s="66"/>
      <c r="I24" s="132"/>
    </row>
    <row r="25" spans="1:11" ht="35.15" customHeight="1" x14ac:dyDescent="0.35">
      <c r="A25" s="392"/>
      <c r="B25" s="393"/>
      <c r="C25" s="74">
        <v>1</v>
      </c>
      <c r="D25" s="74" t="s">
        <v>36</v>
      </c>
      <c r="E25" s="137" t="s">
        <v>196</v>
      </c>
      <c r="F25" s="66"/>
      <c r="G25" s="66"/>
      <c r="H25" s="66"/>
      <c r="I25" s="132"/>
    </row>
    <row r="26" spans="1:11" ht="35.15" customHeight="1" x14ac:dyDescent="0.35">
      <c r="A26" s="392">
        <v>45890</v>
      </c>
      <c r="B26" s="393" t="s">
        <v>8</v>
      </c>
      <c r="C26" s="74">
        <v>2</v>
      </c>
      <c r="D26" s="74" t="s">
        <v>37</v>
      </c>
      <c r="E26" s="137" t="s">
        <v>194</v>
      </c>
      <c r="F26" s="66"/>
      <c r="G26" s="66"/>
      <c r="H26" s="66"/>
      <c r="I26" s="132"/>
    </row>
    <row r="27" spans="1:11" ht="35.15" customHeight="1" x14ac:dyDescent="0.35">
      <c r="A27" s="392"/>
      <c r="B27" s="393"/>
      <c r="C27" s="74">
        <v>1</v>
      </c>
      <c r="D27" s="74" t="s">
        <v>37</v>
      </c>
      <c r="E27" s="137" t="s">
        <v>190</v>
      </c>
      <c r="F27" s="66"/>
      <c r="G27" s="66"/>
      <c r="H27" s="66"/>
      <c r="I27" s="132"/>
    </row>
    <row r="28" spans="1:11" ht="37" customHeight="1" x14ac:dyDescent="0.35">
      <c r="A28" s="392"/>
      <c r="B28" s="393"/>
      <c r="C28" s="74">
        <v>3</v>
      </c>
      <c r="D28" s="74" t="s">
        <v>37</v>
      </c>
      <c r="E28" s="137" t="s">
        <v>198</v>
      </c>
      <c r="F28" s="66"/>
      <c r="G28" s="66"/>
      <c r="H28" s="66"/>
      <c r="I28" s="132"/>
    </row>
    <row r="29" spans="1:11" ht="37" customHeight="1" x14ac:dyDescent="0.35">
      <c r="A29" s="392">
        <v>45894</v>
      </c>
      <c r="B29" s="393" t="s">
        <v>34</v>
      </c>
      <c r="C29" s="74">
        <v>2</v>
      </c>
      <c r="D29" s="74" t="s">
        <v>37</v>
      </c>
      <c r="E29" s="137" t="s">
        <v>195</v>
      </c>
      <c r="F29" s="66"/>
      <c r="G29" s="66"/>
      <c r="H29" s="66"/>
      <c r="I29" s="132"/>
    </row>
    <row r="30" spans="1:11" ht="37" customHeight="1" x14ac:dyDescent="0.35">
      <c r="A30" s="392"/>
      <c r="B30" s="393"/>
      <c r="C30" s="74">
        <v>2</v>
      </c>
      <c r="D30" s="74" t="s">
        <v>37</v>
      </c>
      <c r="E30" s="137" t="s">
        <v>197</v>
      </c>
      <c r="F30" s="66"/>
      <c r="G30" s="66"/>
      <c r="H30" s="66"/>
      <c r="I30" s="132"/>
    </row>
    <row r="31" spans="1:11" ht="35.15" customHeight="1" x14ac:dyDescent="0.35">
      <c r="A31" s="392"/>
      <c r="B31" s="393"/>
      <c r="C31" s="74">
        <v>4</v>
      </c>
      <c r="D31" s="74" t="s">
        <v>37</v>
      </c>
      <c r="E31" s="137" t="s">
        <v>199</v>
      </c>
      <c r="F31" s="66"/>
      <c r="G31" s="66"/>
      <c r="H31" s="66"/>
      <c r="I31" s="132"/>
    </row>
    <row r="32" spans="1:11" ht="35.15" customHeight="1" x14ac:dyDescent="0.35">
      <c r="A32" s="392">
        <v>45896</v>
      </c>
      <c r="B32" s="393" t="s">
        <v>7</v>
      </c>
      <c r="C32" s="74">
        <v>2</v>
      </c>
      <c r="D32" s="74" t="s">
        <v>37</v>
      </c>
      <c r="E32" s="137" t="s">
        <v>205</v>
      </c>
      <c r="F32" s="66"/>
      <c r="G32" s="66"/>
      <c r="H32" s="66"/>
      <c r="I32" s="132"/>
      <c r="J32" s="129"/>
    </row>
    <row r="33" spans="1:9" ht="37" customHeight="1" x14ac:dyDescent="0.35">
      <c r="A33" s="392"/>
      <c r="B33" s="393"/>
      <c r="C33" s="74">
        <v>2</v>
      </c>
      <c r="D33" s="74" t="s">
        <v>37</v>
      </c>
      <c r="E33" s="137" t="s">
        <v>225</v>
      </c>
      <c r="F33" s="66"/>
      <c r="G33" s="66"/>
      <c r="H33" s="66"/>
      <c r="I33" s="132"/>
    </row>
    <row r="34" spans="1:9" ht="35.15" customHeight="1" x14ac:dyDescent="0.35">
      <c r="A34" s="392">
        <v>45897</v>
      </c>
      <c r="B34" s="393" t="s">
        <v>8</v>
      </c>
      <c r="C34" s="74">
        <v>1</v>
      </c>
      <c r="D34" s="74" t="s">
        <v>37</v>
      </c>
      <c r="E34" s="137" t="s">
        <v>206</v>
      </c>
      <c r="F34" s="66"/>
      <c r="G34" s="66"/>
      <c r="H34" s="66"/>
      <c r="I34" s="132"/>
    </row>
    <row r="35" spans="1:9" ht="35.15" customHeight="1" x14ac:dyDescent="0.35">
      <c r="A35" s="392"/>
      <c r="B35" s="393"/>
      <c r="C35" s="74">
        <v>3</v>
      </c>
      <c r="D35" s="74" t="s">
        <v>37</v>
      </c>
      <c r="E35" s="137" t="s">
        <v>207</v>
      </c>
      <c r="F35" s="66"/>
      <c r="G35" s="66"/>
      <c r="H35" s="66"/>
      <c r="I35" s="132"/>
    </row>
    <row r="36" spans="1:9" ht="35.15" customHeight="1" x14ac:dyDescent="0.35">
      <c r="A36" s="392"/>
      <c r="B36" s="393"/>
      <c r="C36" s="74">
        <v>5</v>
      </c>
      <c r="D36" s="74" t="s">
        <v>37</v>
      </c>
      <c r="E36" s="137" t="s">
        <v>202</v>
      </c>
      <c r="F36" s="66"/>
      <c r="G36" s="66"/>
      <c r="H36" s="66"/>
      <c r="I36" s="132"/>
    </row>
    <row r="37" spans="1:9" ht="35.15" customHeight="1" x14ac:dyDescent="0.35">
      <c r="A37" s="73">
        <v>45900</v>
      </c>
      <c r="B37" s="74" t="s">
        <v>17</v>
      </c>
      <c r="C37" s="74">
        <v>5</v>
      </c>
      <c r="D37" s="74" t="s">
        <v>37</v>
      </c>
      <c r="E37" s="137" t="s">
        <v>203</v>
      </c>
      <c r="F37" s="66"/>
      <c r="G37" s="66"/>
      <c r="H37" s="66"/>
      <c r="I37" s="132"/>
    </row>
    <row r="38" spans="1:9" ht="35.15" customHeight="1" thickBot="1" x14ac:dyDescent="0.55000000000000004">
      <c r="A38" s="394" t="s">
        <v>1</v>
      </c>
      <c r="B38" s="395"/>
      <c r="C38" s="138">
        <f>SUM(C11:C37)</f>
        <v>80</v>
      </c>
      <c r="D38" s="138">
        <f>+'יולי 2025  '!E44</f>
        <v>1229</v>
      </c>
      <c r="E38" s="139">
        <f>D38-C38</f>
        <v>1149</v>
      </c>
      <c r="F38" s="66"/>
      <c r="G38" s="66"/>
      <c r="H38" s="66"/>
      <c r="I38" s="132"/>
    </row>
    <row r="39" spans="1:9" ht="13.75" customHeight="1" thickTop="1" x14ac:dyDescent="0.35">
      <c r="A39" s="65"/>
      <c r="B39" s="66"/>
      <c r="C39" s="66"/>
      <c r="D39" s="66"/>
      <c r="E39" s="66"/>
      <c r="F39" s="66"/>
      <c r="G39" s="66"/>
      <c r="H39" s="66"/>
      <c r="I39" s="132"/>
    </row>
    <row r="40" spans="1:9" ht="13.75" customHeight="1" thickBot="1" x14ac:dyDescent="0.4">
      <c r="A40" s="65"/>
      <c r="B40" s="66"/>
      <c r="C40" s="66"/>
      <c r="D40" s="66"/>
      <c r="E40" s="66"/>
      <c r="F40" s="66"/>
      <c r="G40" s="66"/>
      <c r="H40" s="66"/>
      <c r="I40" s="132"/>
    </row>
    <row r="41" spans="1:9" ht="30" customHeight="1" thickTop="1" x14ac:dyDescent="0.4">
      <c r="A41" s="328" t="s">
        <v>18</v>
      </c>
      <c r="B41" s="329"/>
      <c r="C41" s="30"/>
      <c r="D41" s="53">
        <v>80</v>
      </c>
      <c r="E41" s="41"/>
      <c r="F41" s="42"/>
      <c r="G41" s="64"/>
      <c r="H41" s="64"/>
      <c r="I41" s="140"/>
    </row>
    <row r="42" spans="1:9" ht="30" customHeight="1" x14ac:dyDescent="0.4">
      <c r="A42" s="330" t="s">
        <v>19</v>
      </c>
      <c r="B42" s="331"/>
      <c r="C42" s="31"/>
      <c r="D42" s="26"/>
      <c r="E42" s="43"/>
      <c r="F42" s="44"/>
      <c r="G42" s="64"/>
      <c r="H42" s="64"/>
      <c r="I42" s="140"/>
    </row>
    <row r="43" spans="1:9" ht="30" customHeight="1" x14ac:dyDescent="0.4">
      <c r="A43" s="330" t="s">
        <v>20</v>
      </c>
      <c r="B43" s="331"/>
      <c r="C43" s="31"/>
      <c r="D43" s="26"/>
      <c r="E43" s="43"/>
      <c r="F43" s="44"/>
      <c r="G43" s="64"/>
      <c r="H43" s="64"/>
      <c r="I43" s="140"/>
    </row>
    <row r="44" spans="1:9" ht="30" customHeight="1" thickBot="1" x14ac:dyDescent="0.45">
      <c r="A44" s="332" t="s">
        <v>21</v>
      </c>
      <c r="B44" s="333"/>
      <c r="C44" s="32"/>
      <c r="D44" s="29"/>
      <c r="E44" s="43"/>
      <c r="F44" s="44"/>
      <c r="G44" s="64"/>
      <c r="H44" s="64"/>
      <c r="I44" s="140"/>
    </row>
    <row r="45" spans="1:9" ht="30" customHeight="1" thickTop="1" thickBot="1" x14ac:dyDescent="0.45">
      <c r="A45" s="334" t="s">
        <v>20</v>
      </c>
      <c r="B45" s="335"/>
      <c r="C45" s="33"/>
      <c r="D45" s="54">
        <f>D44+D43</f>
        <v>0</v>
      </c>
      <c r="E45" s="43"/>
      <c r="F45" s="42"/>
      <c r="G45" s="64"/>
      <c r="H45" s="64"/>
      <c r="I45" s="140"/>
    </row>
    <row r="46" spans="1:9" ht="13.75" customHeight="1" thickTop="1" thickBot="1" x14ac:dyDescent="0.5">
      <c r="A46" s="88"/>
      <c r="B46" s="89"/>
      <c r="C46" s="89"/>
      <c r="D46" s="89"/>
      <c r="E46" s="89"/>
      <c r="F46" s="89"/>
      <c r="G46" s="89"/>
      <c r="H46" s="89"/>
      <c r="I46" s="141"/>
    </row>
    <row r="47" spans="1:9" ht="25" customHeight="1" thickTop="1" thickBot="1" x14ac:dyDescent="0.45">
      <c r="A47" s="387" t="s">
        <v>22</v>
      </c>
      <c r="B47" s="388"/>
      <c r="C47" s="388"/>
      <c r="D47" s="388"/>
      <c r="E47" s="388"/>
      <c r="F47" s="388"/>
      <c r="G47" s="388"/>
      <c r="H47" s="388"/>
      <c r="I47" s="389"/>
    </row>
    <row r="48" spans="1:9" ht="25" customHeight="1" thickTop="1" thickBot="1" x14ac:dyDescent="0.65">
      <c r="A48" s="375" t="s">
        <v>23</v>
      </c>
      <c r="B48" s="376"/>
      <c r="C48" s="142"/>
      <c r="D48" s="143"/>
      <c r="E48" s="144"/>
      <c r="F48" s="145"/>
      <c r="G48" s="41" t="s">
        <v>24</v>
      </c>
      <c r="H48" s="377">
        <v>45900</v>
      </c>
      <c r="I48" s="378"/>
    </row>
    <row r="49" spans="1:9" ht="25" customHeight="1" thickTop="1" thickBot="1" x14ac:dyDescent="0.65">
      <c r="A49" s="379" t="s">
        <v>25</v>
      </c>
      <c r="B49" s="380"/>
      <c r="C49" s="42"/>
      <c r="D49" s="381" t="s">
        <v>26</v>
      </c>
      <c r="E49" s="381"/>
      <c r="F49" s="381"/>
      <c r="G49" s="381"/>
      <c r="H49" s="381"/>
      <c r="I49" s="140"/>
    </row>
    <row r="50" spans="1:9" ht="25" customHeight="1" thickTop="1" x14ac:dyDescent="0.4">
      <c r="A50" s="382" t="s">
        <v>27</v>
      </c>
      <c r="B50" s="383"/>
      <c r="C50" s="383"/>
      <c r="D50" s="383"/>
      <c r="E50" s="383"/>
      <c r="F50" s="145"/>
      <c r="G50" s="383" t="s">
        <v>28</v>
      </c>
      <c r="H50" s="383"/>
      <c r="I50" s="384"/>
    </row>
    <row r="51" spans="1:9" ht="25" customHeight="1" thickBot="1" x14ac:dyDescent="0.45">
      <c r="A51" s="382" t="s">
        <v>29</v>
      </c>
      <c r="B51" s="383"/>
      <c r="C51" s="383"/>
      <c r="D51" s="383"/>
      <c r="E51" s="41" t="s">
        <v>30</v>
      </c>
      <c r="F51" s="41"/>
      <c r="G51" s="385"/>
      <c r="H51" s="385"/>
      <c r="I51" s="146"/>
    </row>
    <row r="52" spans="1:9" ht="25" customHeight="1" thickTop="1" thickBot="1" x14ac:dyDescent="0.45">
      <c r="A52" s="379" t="s">
        <v>30</v>
      </c>
      <c r="B52" s="380"/>
      <c r="C52" s="42"/>
      <c r="D52" s="147"/>
      <c r="E52" s="41" t="s">
        <v>31</v>
      </c>
      <c r="F52" s="41"/>
      <c r="G52" s="386"/>
      <c r="H52" s="386"/>
      <c r="I52" s="140"/>
    </row>
    <row r="53" spans="1:9" ht="25" customHeight="1" thickTop="1" thickBot="1" x14ac:dyDescent="0.45">
      <c r="A53" s="379" t="s">
        <v>23</v>
      </c>
      <c r="B53" s="380"/>
      <c r="C53" s="42"/>
      <c r="D53" s="147"/>
      <c r="E53" s="41" t="s">
        <v>23</v>
      </c>
      <c r="F53" s="41"/>
      <c r="G53" s="147"/>
      <c r="H53" s="41" t="s">
        <v>0</v>
      </c>
      <c r="I53" s="148"/>
    </row>
    <row r="54" spans="1:9" ht="25" customHeight="1" thickTop="1" thickBot="1" x14ac:dyDescent="0.45">
      <c r="A54" s="372" t="s">
        <v>52</v>
      </c>
      <c r="B54" s="373"/>
      <c r="C54" s="373"/>
      <c r="D54" s="373"/>
      <c r="E54" s="373"/>
      <c r="F54" s="373"/>
      <c r="G54" s="373"/>
      <c r="H54" s="373"/>
      <c r="I54" s="374"/>
    </row>
    <row r="55" spans="1:9" ht="14.5" customHeight="1" thickTop="1" x14ac:dyDescent="0.35">
      <c r="A55" s="66"/>
      <c r="B55" s="66"/>
      <c r="C55" s="66"/>
      <c r="D55" s="66"/>
      <c r="E55" s="66"/>
      <c r="F55" s="66"/>
      <c r="G55" s="66"/>
      <c r="H55" s="66"/>
      <c r="I55" s="66"/>
    </row>
  </sheetData>
  <mergeCells count="43">
    <mergeCell ref="A20:A21"/>
    <mergeCell ref="B20:B21"/>
    <mergeCell ref="A53:B53"/>
    <mergeCell ref="A54:I54"/>
    <mergeCell ref="A50:E50"/>
    <mergeCell ref="G50:I50"/>
    <mergeCell ref="A51:D51"/>
    <mergeCell ref="G51:H51"/>
    <mergeCell ref="A52:B52"/>
    <mergeCell ref="G52:H52"/>
    <mergeCell ref="A49:B49"/>
    <mergeCell ref="D49:H49"/>
    <mergeCell ref="A38:B38"/>
    <mergeCell ref="A41:B41"/>
    <mergeCell ref="A48:B48"/>
    <mergeCell ref="H48:I48"/>
    <mergeCell ref="A42:B42"/>
    <mergeCell ref="A43:B43"/>
    <mergeCell ref="A44:B44"/>
    <mergeCell ref="A23:A25"/>
    <mergeCell ref="B23:B25"/>
    <mergeCell ref="A26:A28"/>
    <mergeCell ref="B26:B28"/>
    <mergeCell ref="A29:A31"/>
    <mergeCell ref="B29:B31"/>
    <mergeCell ref="A32:A33"/>
    <mergeCell ref="B32:B33"/>
    <mergeCell ref="A45:B45"/>
    <mergeCell ref="A47:I47"/>
    <mergeCell ref="A18:A19"/>
    <mergeCell ref="B18:B19"/>
    <mergeCell ref="A2:E2"/>
    <mergeCell ref="A4:E4"/>
    <mergeCell ref="C5:D5"/>
    <mergeCell ref="C6:D7"/>
    <mergeCell ref="A11:A13"/>
    <mergeCell ref="B11:B13"/>
    <mergeCell ref="A16:A17"/>
    <mergeCell ref="B16:B17"/>
    <mergeCell ref="A14:A15"/>
    <mergeCell ref="B14:B15"/>
    <mergeCell ref="A34:A36"/>
    <mergeCell ref="B34:B36"/>
  </mergeCells>
  <pageMargins left="0.70866141732283472" right="0.70866141732283472" top="0.74803149606299213" bottom="0.74803149606299213" header="0.31496062992125984" footer="0.31496062992125984"/>
  <pageSetup paperSize="9" scale="44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0"/>
  <sheetViews>
    <sheetView rightToLeft="1" topLeftCell="A19" zoomScaleNormal="100" workbookViewId="0">
      <selection activeCell="E23" sqref="E23"/>
    </sheetView>
  </sheetViews>
  <sheetFormatPr defaultRowHeight="14" x14ac:dyDescent="0.3"/>
  <cols>
    <col min="1" max="1" width="25.58203125" customWidth="1"/>
    <col min="2" max="3" width="20.58203125" customWidth="1"/>
    <col min="4" max="4" width="15.58203125" customWidth="1"/>
    <col min="5" max="5" width="53.58203125" customWidth="1"/>
  </cols>
  <sheetData>
    <row r="1" spans="1:11" ht="13.75" customHeight="1" thickBot="1" x14ac:dyDescent="0.35"/>
    <row r="2" spans="1:11" ht="35.15" customHeight="1" thickTop="1" thickBot="1" x14ac:dyDescent="0.6">
      <c r="A2" s="293" t="s">
        <v>2</v>
      </c>
      <c r="B2" s="294"/>
      <c r="C2" s="294"/>
      <c r="D2" s="294"/>
      <c r="E2" s="295"/>
      <c r="F2" s="34"/>
      <c r="G2" s="34"/>
      <c r="H2" s="130"/>
      <c r="I2" s="131"/>
    </row>
    <row r="3" spans="1:11" ht="13.75" customHeight="1" thickTop="1" thickBot="1" x14ac:dyDescent="0.4">
      <c r="A3" s="77"/>
      <c r="B3" s="78"/>
      <c r="C3" s="78"/>
      <c r="D3" s="78"/>
      <c r="E3" s="78"/>
      <c r="F3" s="66"/>
      <c r="G3" s="66"/>
      <c r="H3" s="66"/>
      <c r="I3" s="132"/>
    </row>
    <row r="4" spans="1:11" ht="35.15" customHeight="1" thickTop="1" thickBot="1" x14ac:dyDescent="0.4">
      <c r="A4" s="296" t="s">
        <v>200</v>
      </c>
      <c r="B4" s="297"/>
      <c r="C4" s="297"/>
      <c r="D4" s="297"/>
      <c r="E4" s="298"/>
      <c r="F4" s="66"/>
      <c r="G4" s="66"/>
      <c r="H4" s="66"/>
      <c r="I4" s="132"/>
    </row>
    <row r="5" spans="1:11" ht="50.15" customHeight="1" thickTop="1" thickBot="1" x14ac:dyDescent="0.4">
      <c r="A5" s="58" t="s">
        <v>3</v>
      </c>
      <c r="B5" s="59" t="s">
        <v>15</v>
      </c>
      <c r="C5" s="299" t="s">
        <v>13</v>
      </c>
      <c r="D5" s="300"/>
      <c r="E5" s="60" t="s">
        <v>14</v>
      </c>
      <c r="F5" s="66"/>
      <c r="G5" s="66"/>
      <c r="H5" s="66"/>
      <c r="I5" s="132"/>
    </row>
    <row r="6" spans="1:11" ht="30" customHeight="1" thickTop="1" thickBot="1" x14ac:dyDescent="0.4">
      <c r="A6" s="61" t="s">
        <v>42</v>
      </c>
      <c r="B6" s="61" t="s">
        <v>33</v>
      </c>
      <c r="C6" s="301">
        <v>45901</v>
      </c>
      <c r="D6" s="302"/>
      <c r="E6" s="61" t="s">
        <v>2</v>
      </c>
      <c r="F6" s="66"/>
      <c r="G6" s="66"/>
      <c r="H6" s="66"/>
      <c r="I6" s="132"/>
    </row>
    <row r="7" spans="1:11" ht="30" customHeight="1" thickTop="1" thickBot="1" x14ac:dyDescent="0.4">
      <c r="A7" s="61" t="s">
        <v>4</v>
      </c>
      <c r="B7" s="61" t="s">
        <v>5</v>
      </c>
      <c r="C7" s="303"/>
      <c r="D7" s="304"/>
      <c r="E7" s="62" t="s">
        <v>227</v>
      </c>
      <c r="F7" s="66"/>
      <c r="G7" s="66"/>
      <c r="H7" s="66"/>
      <c r="I7" s="132"/>
    </row>
    <row r="8" spans="1:11" ht="13.75" customHeight="1" thickTop="1" x14ac:dyDescent="0.35">
      <c r="A8" s="63"/>
      <c r="B8" s="64"/>
      <c r="C8" s="64"/>
      <c r="D8" s="64"/>
      <c r="E8" s="64"/>
      <c r="F8" s="66"/>
      <c r="G8" s="66"/>
      <c r="H8" s="66"/>
      <c r="I8" s="132"/>
    </row>
    <row r="9" spans="1:11" ht="13.75" customHeight="1" thickBot="1" x14ac:dyDescent="0.4">
      <c r="A9" s="65"/>
      <c r="B9" s="66"/>
      <c r="C9" s="66"/>
      <c r="D9" s="66"/>
      <c r="E9" s="66"/>
      <c r="F9" s="66"/>
      <c r="G9" s="66"/>
      <c r="H9" s="66"/>
      <c r="I9" s="132"/>
    </row>
    <row r="10" spans="1:11" ht="35.15" customHeight="1" x14ac:dyDescent="0.35">
      <c r="A10" s="133" t="s">
        <v>0</v>
      </c>
      <c r="B10" s="134" t="s">
        <v>6</v>
      </c>
      <c r="C10" s="135" t="s">
        <v>9</v>
      </c>
      <c r="D10" s="134" t="s">
        <v>35</v>
      </c>
      <c r="E10" s="136" t="s">
        <v>10</v>
      </c>
      <c r="F10" s="66"/>
      <c r="G10" s="66"/>
      <c r="H10" s="66"/>
      <c r="I10" s="132"/>
      <c r="K10" t="s">
        <v>51</v>
      </c>
    </row>
    <row r="11" spans="1:11" ht="35.15" customHeight="1" x14ac:dyDescent="0.35">
      <c r="A11" s="392">
        <v>45904</v>
      </c>
      <c r="B11" s="393" t="s">
        <v>8</v>
      </c>
      <c r="C11" s="74">
        <v>4</v>
      </c>
      <c r="D11" s="74" t="s">
        <v>37</v>
      </c>
      <c r="E11" s="137" t="s">
        <v>204</v>
      </c>
      <c r="F11" s="66"/>
      <c r="G11" s="66"/>
      <c r="H11" s="66"/>
      <c r="I11" s="132"/>
    </row>
    <row r="12" spans="1:11" ht="35.15" customHeight="1" x14ac:dyDescent="0.35">
      <c r="A12" s="392"/>
      <c r="B12" s="393"/>
      <c r="C12" s="74">
        <v>2</v>
      </c>
      <c r="D12" s="74" t="s">
        <v>37</v>
      </c>
      <c r="E12" s="137" t="s">
        <v>201</v>
      </c>
      <c r="F12" s="66"/>
      <c r="G12" s="66"/>
      <c r="H12" s="66"/>
      <c r="I12" s="132"/>
    </row>
    <row r="13" spans="1:11" ht="35.15" customHeight="1" x14ac:dyDescent="0.35">
      <c r="A13" s="392">
        <v>45907</v>
      </c>
      <c r="B13" s="393" t="s">
        <v>17</v>
      </c>
      <c r="C13" s="74">
        <v>2</v>
      </c>
      <c r="D13" s="74" t="s">
        <v>36</v>
      </c>
      <c r="E13" s="137" t="s">
        <v>208</v>
      </c>
      <c r="F13" s="66"/>
      <c r="G13" s="66"/>
      <c r="H13" s="66"/>
      <c r="I13" s="132"/>
    </row>
    <row r="14" spans="1:11" ht="35.15" customHeight="1" x14ac:dyDescent="0.35">
      <c r="A14" s="392"/>
      <c r="B14" s="393"/>
      <c r="C14" s="74">
        <v>1</v>
      </c>
      <c r="D14" s="74" t="s">
        <v>36</v>
      </c>
      <c r="E14" s="137" t="s">
        <v>209</v>
      </c>
      <c r="F14" s="66"/>
      <c r="G14" s="66"/>
      <c r="H14" s="66"/>
      <c r="I14" s="132"/>
    </row>
    <row r="15" spans="1:11" ht="35.15" customHeight="1" x14ac:dyDescent="0.35">
      <c r="A15" s="392"/>
      <c r="B15" s="393"/>
      <c r="C15" s="74">
        <v>1</v>
      </c>
      <c r="D15" s="74" t="s">
        <v>36</v>
      </c>
      <c r="E15" s="137" t="s">
        <v>210</v>
      </c>
      <c r="F15" s="66"/>
      <c r="G15" s="66"/>
      <c r="H15" s="66"/>
      <c r="I15" s="132"/>
    </row>
    <row r="16" spans="1:11" ht="35.15" customHeight="1" x14ac:dyDescent="0.35">
      <c r="A16" s="392"/>
      <c r="B16" s="393"/>
      <c r="C16" s="74">
        <v>3.5</v>
      </c>
      <c r="D16" s="74" t="s">
        <v>36</v>
      </c>
      <c r="E16" s="137" t="s">
        <v>216</v>
      </c>
      <c r="F16" s="66"/>
      <c r="G16" s="66"/>
      <c r="H16" s="66"/>
      <c r="I16" s="132"/>
    </row>
    <row r="17" spans="1:11" ht="35.15" customHeight="1" x14ac:dyDescent="0.35">
      <c r="A17" s="392">
        <v>45914</v>
      </c>
      <c r="B17" s="393" t="s">
        <v>17</v>
      </c>
      <c r="C17" s="74">
        <v>6</v>
      </c>
      <c r="D17" s="74" t="s">
        <v>36</v>
      </c>
      <c r="E17" s="137" t="s">
        <v>211</v>
      </c>
      <c r="F17" s="66"/>
      <c r="G17" s="66"/>
      <c r="H17" s="66"/>
      <c r="I17" s="132"/>
    </row>
    <row r="18" spans="1:11" ht="35.15" customHeight="1" x14ac:dyDescent="0.35">
      <c r="A18" s="392"/>
      <c r="B18" s="393"/>
      <c r="C18" s="74">
        <v>1</v>
      </c>
      <c r="D18" s="74" t="s">
        <v>36</v>
      </c>
      <c r="E18" s="137" t="s">
        <v>209</v>
      </c>
      <c r="F18" s="66"/>
      <c r="G18" s="66"/>
      <c r="H18" s="66"/>
      <c r="I18" s="132"/>
    </row>
    <row r="19" spans="1:11" ht="35.15" customHeight="1" x14ac:dyDescent="0.35">
      <c r="A19" s="392"/>
      <c r="B19" s="393"/>
      <c r="C19" s="74">
        <v>2</v>
      </c>
      <c r="D19" s="74" t="s">
        <v>36</v>
      </c>
      <c r="E19" s="137" t="s">
        <v>212</v>
      </c>
      <c r="F19" s="66"/>
      <c r="G19" s="66"/>
      <c r="H19" s="66"/>
      <c r="I19" s="132"/>
    </row>
    <row r="20" spans="1:11" ht="35.15" customHeight="1" x14ac:dyDescent="0.35">
      <c r="A20" s="73">
        <v>45915</v>
      </c>
      <c r="B20" s="74" t="s">
        <v>40</v>
      </c>
      <c r="C20" s="74">
        <v>1</v>
      </c>
      <c r="D20" s="74" t="s">
        <v>37</v>
      </c>
      <c r="E20" s="137" t="s">
        <v>217</v>
      </c>
      <c r="F20" s="66"/>
      <c r="G20" s="66"/>
      <c r="H20" s="66"/>
      <c r="I20" s="132"/>
    </row>
    <row r="21" spans="1:11" ht="35.15" customHeight="1" x14ac:dyDescent="0.35">
      <c r="A21" s="73">
        <v>45917</v>
      </c>
      <c r="B21" s="74" t="s">
        <v>7</v>
      </c>
      <c r="C21" s="74">
        <v>3</v>
      </c>
      <c r="D21" s="74" t="s">
        <v>37</v>
      </c>
      <c r="E21" s="137" t="s">
        <v>213</v>
      </c>
      <c r="F21" s="66"/>
      <c r="G21" s="66"/>
      <c r="H21" s="66"/>
      <c r="I21" s="132"/>
    </row>
    <row r="22" spans="1:11" ht="35.15" customHeight="1" x14ac:dyDescent="0.35">
      <c r="A22" s="392">
        <v>45921</v>
      </c>
      <c r="B22" s="393" t="s">
        <v>17</v>
      </c>
      <c r="C22" s="74">
        <v>3.5</v>
      </c>
      <c r="D22" s="74" t="s">
        <v>36</v>
      </c>
      <c r="E22" s="137" t="s">
        <v>214</v>
      </c>
      <c r="F22" s="66"/>
      <c r="G22" s="66"/>
      <c r="H22" s="66"/>
      <c r="I22" s="132"/>
    </row>
    <row r="23" spans="1:11" ht="35.15" customHeight="1" thickBot="1" x14ac:dyDescent="0.4">
      <c r="A23" s="392"/>
      <c r="B23" s="393"/>
      <c r="C23" s="74">
        <v>1</v>
      </c>
      <c r="D23" s="74" t="s">
        <v>36</v>
      </c>
      <c r="E23" s="137" t="s">
        <v>218</v>
      </c>
      <c r="F23" s="66"/>
      <c r="G23" s="66"/>
      <c r="H23" s="66"/>
      <c r="I23" s="132"/>
    </row>
    <row r="24" spans="1:11" ht="37" customHeight="1" thickTop="1" thickBot="1" x14ac:dyDescent="0.4">
      <c r="A24" s="392"/>
      <c r="B24" s="393"/>
      <c r="C24" s="74">
        <v>1</v>
      </c>
      <c r="D24" s="74" t="s">
        <v>36</v>
      </c>
      <c r="E24" s="137" t="s">
        <v>215</v>
      </c>
      <c r="F24" s="66"/>
      <c r="G24" s="66"/>
      <c r="H24" s="66"/>
      <c r="I24" s="132"/>
      <c r="K24" s="116"/>
    </row>
    <row r="25" spans="1:11" ht="37" customHeight="1" thickTop="1" x14ac:dyDescent="0.35">
      <c r="A25" s="73">
        <v>45922</v>
      </c>
      <c r="B25" s="74" t="s">
        <v>34</v>
      </c>
      <c r="C25" s="74">
        <v>2</v>
      </c>
      <c r="D25" s="74" t="s">
        <v>37</v>
      </c>
      <c r="E25" s="137" t="s">
        <v>219</v>
      </c>
      <c r="F25" s="66"/>
      <c r="G25" s="66"/>
      <c r="H25" s="66"/>
      <c r="I25" s="132"/>
      <c r="K25" s="129"/>
    </row>
    <row r="26" spans="1:11" ht="37" customHeight="1" x14ac:dyDescent="0.35">
      <c r="A26" s="392">
        <v>45925</v>
      </c>
      <c r="B26" s="393" t="s">
        <v>8</v>
      </c>
      <c r="C26" s="74">
        <v>4</v>
      </c>
      <c r="D26" s="74" t="s">
        <v>37</v>
      </c>
      <c r="E26" s="137" t="s">
        <v>220</v>
      </c>
      <c r="F26" s="66"/>
      <c r="G26" s="66"/>
      <c r="H26" s="66"/>
      <c r="I26" s="132"/>
    </row>
    <row r="27" spans="1:11" ht="37" customHeight="1" x14ac:dyDescent="0.35">
      <c r="A27" s="392"/>
      <c r="B27" s="393"/>
      <c r="C27" s="74">
        <v>3</v>
      </c>
      <c r="D27" s="74" t="s">
        <v>37</v>
      </c>
      <c r="E27" s="137" t="s">
        <v>221</v>
      </c>
      <c r="F27" s="66"/>
      <c r="G27" s="66"/>
      <c r="H27" s="66"/>
      <c r="I27" s="132"/>
    </row>
    <row r="28" spans="1:11" ht="35.15" customHeight="1" x14ac:dyDescent="0.35">
      <c r="A28" s="392">
        <v>45928</v>
      </c>
      <c r="B28" s="393" t="s">
        <v>17</v>
      </c>
      <c r="C28" s="74">
        <v>4</v>
      </c>
      <c r="D28" s="74" t="s">
        <v>36</v>
      </c>
      <c r="E28" s="137" t="s">
        <v>226</v>
      </c>
      <c r="F28" s="66"/>
      <c r="G28" s="66"/>
      <c r="H28" s="66"/>
      <c r="I28" s="132"/>
    </row>
    <row r="29" spans="1:11" ht="35.15" customHeight="1" x14ac:dyDescent="0.35">
      <c r="A29" s="392"/>
      <c r="B29" s="393"/>
      <c r="C29" s="74">
        <v>3.5</v>
      </c>
      <c r="D29" s="74" t="s">
        <v>36</v>
      </c>
      <c r="E29" s="137" t="s">
        <v>224</v>
      </c>
      <c r="F29" s="66"/>
      <c r="G29" s="66"/>
      <c r="H29" s="66"/>
      <c r="I29" s="132"/>
    </row>
    <row r="30" spans="1:11" ht="37" customHeight="1" x14ac:dyDescent="0.35">
      <c r="A30" s="392">
        <v>45929</v>
      </c>
      <c r="B30" s="393" t="s">
        <v>34</v>
      </c>
      <c r="C30" s="74">
        <v>4</v>
      </c>
      <c r="D30" s="74" t="s">
        <v>37</v>
      </c>
      <c r="E30" s="137" t="s">
        <v>222</v>
      </c>
      <c r="F30" s="66"/>
      <c r="G30" s="66"/>
      <c r="H30" s="66"/>
      <c r="I30" s="132"/>
    </row>
    <row r="31" spans="1:11" ht="37" customHeight="1" x14ac:dyDescent="0.35">
      <c r="A31" s="392"/>
      <c r="B31" s="393"/>
      <c r="C31" s="74">
        <v>1</v>
      </c>
      <c r="D31" s="74" t="s">
        <v>37</v>
      </c>
      <c r="E31" s="137" t="s">
        <v>209</v>
      </c>
      <c r="F31" s="66"/>
      <c r="G31" s="66"/>
      <c r="H31" s="66"/>
      <c r="I31" s="132"/>
    </row>
    <row r="32" spans="1:11" ht="37" customHeight="1" x14ac:dyDescent="0.35">
      <c r="A32" s="73">
        <v>45930</v>
      </c>
      <c r="B32" s="74" t="s">
        <v>40</v>
      </c>
      <c r="C32" s="74">
        <v>7.5</v>
      </c>
      <c r="D32" s="74" t="s">
        <v>37</v>
      </c>
      <c r="E32" s="137" t="s">
        <v>223</v>
      </c>
      <c r="F32" s="66"/>
      <c r="G32" s="66"/>
      <c r="H32" s="66"/>
      <c r="I32" s="132"/>
    </row>
    <row r="33" spans="1:9" ht="35.15" customHeight="1" thickBot="1" x14ac:dyDescent="0.55000000000000004">
      <c r="A33" s="394" t="s">
        <v>1</v>
      </c>
      <c r="B33" s="395"/>
      <c r="C33" s="138">
        <f>SUM(C11:C32)</f>
        <v>61</v>
      </c>
      <c r="D33" s="138">
        <f>+'אוג 2025 '!E38</f>
        <v>1149</v>
      </c>
      <c r="E33" s="139">
        <f>D33-C33</f>
        <v>1088</v>
      </c>
      <c r="F33" s="66"/>
      <c r="G33" s="66"/>
      <c r="H33" s="66"/>
      <c r="I33" s="132"/>
    </row>
    <row r="34" spans="1:9" ht="13.75" customHeight="1" thickTop="1" x14ac:dyDescent="0.35">
      <c r="A34" s="65"/>
      <c r="B34" s="66"/>
      <c r="C34" s="66"/>
      <c r="D34" s="66"/>
      <c r="E34" s="66"/>
      <c r="F34" s="66"/>
      <c r="G34" s="66"/>
      <c r="H34" s="66"/>
      <c r="I34" s="132"/>
    </row>
    <row r="35" spans="1:9" ht="13.75" customHeight="1" thickBot="1" x14ac:dyDescent="0.4">
      <c r="A35" s="65"/>
      <c r="B35" s="66"/>
      <c r="C35" s="66"/>
      <c r="D35" s="66"/>
      <c r="E35" s="66"/>
      <c r="F35" s="66"/>
      <c r="G35" s="66"/>
      <c r="H35" s="66"/>
      <c r="I35" s="132"/>
    </row>
    <row r="36" spans="1:9" ht="30" customHeight="1" thickTop="1" x14ac:dyDescent="0.4">
      <c r="A36" s="328" t="s">
        <v>18</v>
      </c>
      <c r="B36" s="329"/>
      <c r="C36" s="30"/>
      <c r="D36" s="53">
        <v>61</v>
      </c>
      <c r="E36" s="41"/>
      <c r="F36" s="42"/>
      <c r="G36" s="64"/>
      <c r="H36" s="64"/>
      <c r="I36" s="140"/>
    </row>
    <row r="37" spans="1:9" ht="30" customHeight="1" x14ac:dyDescent="0.4">
      <c r="A37" s="330" t="s">
        <v>19</v>
      </c>
      <c r="B37" s="331"/>
      <c r="C37" s="31"/>
      <c r="D37" s="26"/>
      <c r="E37" s="43"/>
      <c r="F37" s="44"/>
      <c r="G37" s="64"/>
      <c r="H37" s="64"/>
      <c r="I37" s="140"/>
    </row>
    <row r="38" spans="1:9" ht="30" customHeight="1" x14ac:dyDescent="0.4">
      <c r="A38" s="330" t="s">
        <v>20</v>
      </c>
      <c r="B38" s="331"/>
      <c r="C38" s="31"/>
      <c r="D38" s="26"/>
      <c r="E38" s="43"/>
      <c r="F38" s="44"/>
      <c r="G38" s="64"/>
      <c r="H38" s="64"/>
      <c r="I38" s="140"/>
    </row>
    <row r="39" spans="1:9" ht="30" customHeight="1" thickBot="1" x14ac:dyDescent="0.45">
      <c r="A39" s="332" t="s">
        <v>21</v>
      </c>
      <c r="B39" s="333"/>
      <c r="C39" s="32"/>
      <c r="D39" s="29"/>
      <c r="E39" s="43"/>
      <c r="F39" s="44"/>
      <c r="G39" s="64"/>
      <c r="H39" s="64"/>
      <c r="I39" s="140"/>
    </row>
    <row r="40" spans="1:9" ht="30" customHeight="1" thickTop="1" thickBot="1" x14ac:dyDescent="0.45">
      <c r="A40" s="334" t="s">
        <v>20</v>
      </c>
      <c r="B40" s="335"/>
      <c r="C40" s="33"/>
      <c r="D40" s="54">
        <f>D39+D38</f>
        <v>0</v>
      </c>
      <c r="E40" s="43"/>
      <c r="F40" s="42"/>
      <c r="G40" s="64"/>
      <c r="H40" s="64"/>
      <c r="I40" s="140"/>
    </row>
    <row r="41" spans="1:9" ht="13.75" customHeight="1" thickTop="1" thickBot="1" x14ac:dyDescent="0.5">
      <c r="A41" s="88"/>
      <c r="B41" s="89"/>
      <c r="C41" s="89"/>
      <c r="D41" s="89"/>
      <c r="E41" s="89"/>
      <c r="F41" s="89"/>
      <c r="G41" s="89"/>
      <c r="H41" s="89"/>
      <c r="I41" s="141"/>
    </row>
    <row r="42" spans="1:9" ht="25" customHeight="1" thickTop="1" thickBot="1" x14ac:dyDescent="0.45">
      <c r="A42" s="387" t="s">
        <v>22</v>
      </c>
      <c r="B42" s="388"/>
      <c r="C42" s="388"/>
      <c r="D42" s="388"/>
      <c r="E42" s="388"/>
      <c r="F42" s="388"/>
      <c r="G42" s="388"/>
      <c r="H42" s="388"/>
      <c r="I42" s="389"/>
    </row>
    <row r="43" spans="1:9" ht="25" customHeight="1" thickTop="1" thickBot="1" x14ac:dyDescent="0.65">
      <c r="A43" s="375" t="s">
        <v>23</v>
      </c>
      <c r="B43" s="376"/>
      <c r="C43" s="142"/>
      <c r="D43" s="143"/>
      <c r="E43" s="144"/>
      <c r="F43" s="145"/>
      <c r="G43" s="41" t="s">
        <v>24</v>
      </c>
      <c r="H43" s="377">
        <v>45930</v>
      </c>
      <c r="I43" s="378"/>
    </row>
    <row r="44" spans="1:9" ht="25" customHeight="1" thickTop="1" thickBot="1" x14ac:dyDescent="0.65">
      <c r="A44" s="379" t="s">
        <v>25</v>
      </c>
      <c r="B44" s="380"/>
      <c r="C44" s="42"/>
      <c r="D44" s="381" t="s">
        <v>26</v>
      </c>
      <c r="E44" s="381"/>
      <c r="F44" s="381"/>
      <c r="G44" s="381"/>
      <c r="H44" s="381"/>
      <c r="I44" s="140"/>
    </row>
    <row r="45" spans="1:9" ht="25" customHeight="1" thickTop="1" x14ac:dyDescent="0.4">
      <c r="A45" s="382" t="s">
        <v>27</v>
      </c>
      <c r="B45" s="383"/>
      <c r="C45" s="383"/>
      <c r="D45" s="383"/>
      <c r="E45" s="383"/>
      <c r="F45" s="145"/>
      <c r="G45" s="383" t="s">
        <v>28</v>
      </c>
      <c r="H45" s="383"/>
      <c r="I45" s="384"/>
    </row>
    <row r="46" spans="1:9" ht="25" customHeight="1" thickBot="1" x14ac:dyDescent="0.45">
      <c r="A46" s="382" t="s">
        <v>29</v>
      </c>
      <c r="B46" s="383"/>
      <c r="C46" s="383"/>
      <c r="D46" s="383"/>
      <c r="E46" s="41" t="s">
        <v>30</v>
      </c>
      <c r="F46" s="41"/>
      <c r="G46" s="385"/>
      <c r="H46" s="385"/>
      <c r="I46" s="146"/>
    </row>
    <row r="47" spans="1:9" ht="25" customHeight="1" thickTop="1" thickBot="1" x14ac:dyDescent="0.45">
      <c r="A47" s="379" t="s">
        <v>30</v>
      </c>
      <c r="B47" s="380"/>
      <c r="C47" s="42"/>
      <c r="D47" s="147"/>
      <c r="E47" s="41" t="s">
        <v>31</v>
      </c>
      <c r="F47" s="41"/>
      <c r="G47" s="386"/>
      <c r="H47" s="386"/>
      <c r="I47" s="140"/>
    </row>
    <row r="48" spans="1:9" ht="25" customHeight="1" thickTop="1" thickBot="1" x14ac:dyDescent="0.45">
      <c r="A48" s="379" t="s">
        <v>23</v>
      </c>
      <c r="B48" s="380"/>
      <c r="C48" s="42"/>
      <c r="D48" s="147"/>
      <c r="E48" s="41" t="s">
        <v>23</v>
      </c>
      <c r="F48" s="41"/>
      <c r="G48" s="147"/>
      <c r="H48" s="41" t="s">
        <v>0</v>
      </c>
      <c r="I48" s="148"/>
    </row>
    <row r="49" spans="1:9" ht="25" customHeight="1" thickTop="1" thickBot="1" x14ac:dyDescent="0.45">
      <c r="A49" s="372" t="s">
        <v>52</v>
      </c>
      <c r="B49" s="373"/>
      <c r="C49" s="373"/>
      <c r="D49" s="373"/>
      <c r="E49" s="373"/>
      <c r="F49" s="373"/>
      <c r="G49" s="373"/>
      <c r="H49" s="373"/>
      <c r="I49" s="374"/>
    </row>
    <row r="50" spans="1:9" ht="14.5" customHeight="1" thickTop="1" x14ac:dyDescent="0.35">
      <c r="A50" s="66"/>
      <c r="B50" s="66"/>
      <c r="C50" s="66"/>
      <c r="D50" s="66"/>
      <c r="E50" s="66"/>
      <c r="F50" s="66"/>
      <c r="G50" s="66"/>
      <c r="H50" s="66"/>
      <c r="I50" s="66"/>
    </row>
  </sheetData>
  <mergeCells count="37">
    <mergeCell ref="A2:E2"/>
    <mergeCell ref="A4:E4"/>
    <mergeCell ref="C5:D5"/>
    <mergeCell ref="C6:D7"/>
    <mergeCell ref="A11:A12"/>
    <mergeCell ref="B11:B12"/>
    <mergeCell ref="A13:A16"/>
    <mergeCell ref="B13:B16"/>
    <mergeCell ref="A17:A19"/>
    <mergeCell ref="B17:B19"/>
    <mergeCell ref="A22:A24"/>
    <mergeCell ref="B22:B24"/>
    <mergeCell ref="A26:A27"/>
    <mergeCell ref="B26:B27"/>
    <mergeCell ref="A28:A29"/>
    <mergeCell ref="B28:B29"/>
    <mergeCell ref="A43:B43"/>
    <mergeCell ref="H43:I43"/>
    <mergeCell ref="A30:A31"/>
    <mergeCell ref="B30:B31"/>
    <mergeCell ref="A33:B33"/>
    <mergeCell ref="A36:B36"/>
    <mergeCell ref="A37:B37"/>
    <mergeCell ref="A38:B38"/>
    <mergeCell ref="A39:B39"/>
    <mergeCell ref="A40:B40"/>
    <mergeCell ref="A42:I42"/>
    <mergeCell ref="A47:B47"/>
    <mergeCell ref="G47:H47"/>
    <mergeCell ref="A48:B48"/>
    <mergeCell ref="A49:I49"/>
    <mergeCell ref="A44:B44"/>
    <mergeCell ref="D44:H44"/>
    <mergeCell ref="A45:E45"/>
    <mergeCell ref="G45:I45"/>
    <mergeCell ref="A46:D46"/>
    <mergeCell ref="G46:H46"/>
  </mergeCells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9"/>
  <sheetViews>
    <sheetView rightToLeft="1" topLeftCell="A13" zoomScaleNormal="100" workbookViewId="0">
      <selection activeCell="E19" sqref="E19"/>
    </sheetView>
  </sheetViews>
  <sheetFormatPr defaultRowHeight="14" x14ac:dyDescent="0.3"/>
  <cols>
    <col min="1" max="1" width="25.58203125" customWidth="1"/>
    <col min="2" max="3" width="20.58203125" customWidth="1"/>
    <col min="4" max="4" width="15.58203125" customWidth="1"/>
    <col min="5" max="5" width="53.58203125" customWidth="1"/>
  </cols>
  <sheetData>
    <row r="1" spans="1:11" ht="13.75" customHeight="1" thickBot="1" x14ac:dyDescent="0.35"/>
    <row r="2" spans="1:11" ht="35.15" customHeight="1" thickTop="1" thickBot="1" x14ac:dyDescent="0.6">
      <c r="A2" s="293" t="s">
        <v>2</v>
      </c>
      <c r="B2" s="294"/>
      <c r="C2" s="294"/>
      <c r="D2" s="294"/>
      <c r="E2" s="295"/>
      <c r="F2" s="34"/>
      <c r="G2" s="34"/>
      <c r="H2" s="130"/>
      <c r="I2" s="131"/>
    </row>
    <row r="3" spans="1:11" ht="13.75" customHeight="1" thickTop="1" thickBot="1" x14ac:dyDescent="0.4">
      <c r="A3" s="77"/>
      <c r="B3" s="78"/>
      <c r="C3" s="78"/>
      <c r="D3" s="78"/>
      <c r="E3" s="78"/>
      <c r="F3" s="66"/>
      <c r="G3" s="66"/>
      <c r="H3" s="66"/>
      <c r="I3" s="132"/>
    </row>
    <row r="4" spans="1:11" ht="35.15" customHeight="1" thickTop="1" thickBot="1" x14ac:dyDescent="0.4">
      <c r="A4" s="296" t="s">
        <v>232</v>
      </c>
      <c r="B4" s="297"/>
      <c r="C4" s="297"/>
      <c r="D4" s="297"/>
      <c r="E4" s="298"/>
      <c r="F4" s="66"/>
      <c r="G4" s="66"/>
      <c r="H4" s="66"/>
      <c r="I4" s="132"/>
    </row>
    <row r="5" spans="1:11" ht="50.15" customHeight="1" thickTop="1" thickBot="1" x14ac:dyDescent="0.4">
      <c r="A5" s="58" t="s">
        <v>3</v>
      </c>
      <c r="B5" s="59" t="s">
        <v>15</v>
      </c>
      <c r="C5" s="299" t="s">
        <v>13</v>
      </c>
      <c r="D5" s="300"/>
      <c r="E5" s="60" t="s">
        <v>14</v>
      </c>
      <c r="F5" s="66"/>
      <c r="G5" s="66"/>
      <c r="H5" s="66"/>
      <c r="I5" s="132"/>
    </row>
    <row r="6" spans="1:11" ht="30" customHeight="1" thickTop="1" thickBot="1" x14ac:dyDescent="0.4">
      <c r="A6" s="61" t="s">
        <v>42</v>
      </c>
      <c r="B6" s="61" t="s">
        <v>33</v>
      </c>
      <c r="C6" s="301">
        <v>45931</v>
      </c>
      <c r="D6" s="302"/>
      <c r="E6" s="61" t="s">
        <v>2</v>
      </c>
      <c r="F6" s="66"/>
      <c r="G6" s="66"/>
      <c r="H6" s="66"/>
      <c r="I6" s="132"/>
    </row>
    <row r="7" spans="1:11" ht="30" customHeight="1" thickTop="1" thickBot="1" x14ac:dyDescent="0.4">
      <c r="A7" s="61" t="s">
        <v>4</v>
      </c>
      <c r="B7" s="61" t="s">
        <v>5</v>
      </c>
      <c r="C7" s="303"/>
      <c r="D7" s="304"/>
      <c r="E7" s="150" t="s">
        <v>233</v>
      </c>
      <c r="F7" s="66"/>
      <c r="G7" s="66"/>
      <c r="H7" s="66"/>
      <c r="I7" s="132"/>
    </row>
    <row r="8" spans="1:11" ht="13.75" customHeight="1" thickTop="1" x14ac:dyDescent="0.35">
      <c r="A8" s="63"/>
      <c r="B8" s="64"/>
      <c r="C8" s="64"/>
      <c r="D8" s="64"/>
      <c r="E8" s="64"/>
      <c r="F8" s="66"/>
      <c r="G8" s="66"/>
      <c r="H8" s="66"/>
      <c r="I8" s="132"/>
    </row>
    <row r="9" spans="1:11" ht="13.75" customHeight="1" thickBot="1" x14ac:dyDescent="0.4">
      <c r="A9" s="65"/>
      <c r="B9" s="66"/>
      <c r="C9" s="66"/>
      <c r="D9" s="66"/>
      <c r="E9" s="66"/>
      <c r="F9" s="66"/>
      <c r="G9" s="66"/>
      <c r="H9" s="66"/>
      <c r="I9" s="132"/>
    </row>
    <row r="10" spans="1:11" ht="35.15" customHeight="1" x14ac:dyDescent="0.35">
      <c r="A10" s="133" t="s">
        <v>0</v>
      </c>
      <c r="B10" s="134" t="s">
        <v>6</v>
      </c>
      <c r="C10" s="135" t="s">
        <v>9</v>
      </c>
      <c r="D10" s="134" t="s">
        <v>35</v>
      </c>
      <c r="E10" s="136" t="s">
        <v>10</v>
      </c>
      <c r="F10" s="66"/>
      <c r="G10" s="66"/>
      <c r="H10" s="66"/>
      <c r="I10" s="132"/>
      <c r="K10" t="s">
        <v>51</v>
      </c>
    </row>
    <row r="11" spans="1:11" ht="35.15" customHeight="1" x14ac:dyDescent="0.35">
      <c r="A11" s="392">
        <v>45949</v>
      </c>
      <c r="B11" s="393" t="s">
        <v>17</v>
      </c>
      <c r="C11" s="74">
        <v>2</v>
      </c>
      <c r="D11" s="74" t="s">
        <v>36</v>
      </c>
      <c r="E11" s="137" t="s">
        <v>271</v>
      </c>
      <c r="F11" s="66"/>
      <c r="G11" s="66"/>
      <c r="H11" s="66"/>
      <c r="I11" s="132"/>
    </row>
    <row r="12" spans="1:11" ht="35.15" customHeight="1" x14ac:dyDescent="0.35">
      <c r="A12" s="392"/>
      <c r="B12" s="393"/>
      <c r="C12" s="74">
        <v>3</v>
      </c>
      <c r="D12" s="74" t="s">
        <v>36</v>
      </c>
      <c r="E12" s="137" t="s">
        <v>229</v>
      </c>
      <c r="F12" s="66"/>
      <c r="G12" s="66"/>
      <c r="H12" s="66"/>
      <c r="I12" s="132"/>
    </row>
    <row r="13" spans="1:11" ht="35.15" customHeight="1" x14ac:dyDescent="0.35">
      <c r="A13" s="392"/>
      <c r="B13" s="393"/>
      <c r="C13" s="74">
        <v>3.5</v>
      </c>
      <c r="D13" s="74" t="s">
        <v>36</v>
      </c>
      <c r="E13" s="137" t="s">
        <v>230</v>
      </c>
      <c r="F13" s="66"/>
      <c r="G13" s="66"/>
      <c r="H13" s="66"/>
      <c r="I13" s="132"/>
    </row>
    <row r="14" spans="1:11" ht="35.15" customHeight="1" x14ac:dyDescent="0.35">
      <c r="A14" s="392">
        <v>45953</v>
      </c>
      <c r="B14" s="366" t="s">
        <v>8</v>
      </c>
      <c r="C14" s="74">
        <v>4</v>
      </c>
      <c r="D14" s="74" t="s">
        <v>37</v>
      </c>
      <c r="E14" s="137" t="s">
        <v>234</v>
      </c>
      <c r="F14" s="66"/>
      <c r="G14" s="66"/>
      <c r="H14" s="66"/>
      <c r="I14" s="132"/>
    </row>
    <row r="15" spans="1:11" ht="35.15" customHeight="1" x14ac:dyDescent="0.35">
      <c r="A15" s="392"/>
      <c r="B15" s="367"/>
      <c r="C15" s="74">
        <v>1</v>
      </c>
      <c r="D15" s="74" t="s">
        <v>36</v>
      </c>
      <c r="E15" s="149" t="s">
        <v>231</v>
      </c>
      <c r="F15" s="66"/>
      <c r="G15" s="66"/>
      <c r="H15" s="66"/>
      <c r="I15" s="132"/>
    </row>
    <row r="16" spans="1:11" ht="35.15" customHeight="1" x14ac:dyDescent="0.35">
      <c r="A16" s="368">
        <v>45957</v>
      </c>
      <c r="B16" s="366" t="s">
        <v>34</v>
      </c>
      <c r="C16" s="74">
        <v>3</v>
      </c>
      <c r="D16" s="74" t="s">
        <v>36</v>
      </c>
      <c r="E16" s="137" t="s">
        <v>272</v>
      </c>
      <c r="F16" s="66"/>
      <c r="G16" s="66"/>
      <c r="H16" s="66"/>
      <c r="I16" s="132"/>
    </row>
    <row r="17" spans="1:9" ht="35.15" customHeight="1" x14ac:dyDescent="0.35">
      <c r="A17" s="369"/>
      <c r="B17" s="370"/>
      <c r="C17" s="74">
        <v>2</v>
      </c>
      <c r="D17" s="74" t="s">
        <v>36</v>
      </c>
      <c r="E17" s="137" t="s">
        <v>242</v>
      </c>
      <c r="F17" s="66"/>
      <c r="G17" s="66"/>
      <c r="H17" s="66"/>
      <c r="I17" s="132"/>
    </row>
    <row r="18" spans="1:9" ht="35.15" customHeight="1" x14ac:dyDescent="0.35">
      <c r="A18" s="371"/>
      <c r="B18" s="367"/>
      <c r="C18" s="74">
        <v>2</v>
      </c>
      <c r="D18" s="74" t="s">
        <v>36</v>
      </c>
      <c r="E18" s="137" t="s">
        <v>235</v>
      </c>
      <c r="F18" s="66"/>
      <c r="G18" s="66"/>
      <c r="H18" s="66"/>
      <c r="I18" s="132"/>
    </row>
    <row r="19" spans="1:9" ht="37" customHeight="1" x14ac:dyDescent="0.35">
      <c r="A19" s="392">
        <v>45960</v>
      </c>
      <c r="B19" s="393" t="s">
        <v>8</v>
      </c>
      <c r="C19" s="74">
        <v>4</v>
      </c>
      <c r="D19" s="74" t="s">
        <v>37</v>
      </c>
      <c r="E19" s="137" t="s">
        <v>236</v>
      </c>
      <c r="F19" s="66"/>
      <c r="G19" s="66"/>
      <c r="H19" s="66"/>
      <c r="I19" s="132"/>
    </row>
    <row r="20" spans="1:9" ht="37" customHeight="1" x14ac:dyDescent="0.35">
      <c r="A20" s="392"/>
      <c r="B20" s="393"/>
      <c r="C20" s="74">
        <v>4.5</v>
      </c>
      <c r="D20" s="74" t="s">
        <v>37</v>
      </c>
      <c r="E20" s="137" t="s">
        <v>273</v>
      </c>
      <c r="F20" s="66"/>
      <c r="G20" s="66"/>
      <c r="H20" s="66"/>
      <c r="I20" s="132"/>
    </row>
    <row r="21" spans="1:9" ht="37" customHeight="1" x14ac:dyDescent="0.35">
      <c r="A21" s="392"/>
      <c r="B21" s="393"/>
      <c r="C21" s="74">
        <v>1</v>
      </c>
      <c r="D21" s="74" t="s">
        <v>37</v>
      </c>
      <c r="E21" s="137" t="s">
        <v>238</v>
      </c>
      <c r="F21" s="66"/>
      <c r="G21" s="66"/>
      <c r="H21" s="66"/>
      <c r="I21" s="132"/>
    </row>
    <row r="22" spans="1:9" ht="35.15" customHeight="1" thickBot="1" x14ac:dyDescent="0.55000000000000004">
      <c r="A22" s="394" t="s">
        <v>1</v>
      </c>
      <c r="B22" s="395"/>
      <c r="C22" s="138">
        <f>SUM(C11:C21)</f>
        <v>30</v>
      </c>
      <c r="D22" s="138">
        <f>+'ספט 2025  '!E33</f>
        <v>1088</v>
      </c>
      <c r="E22" s="139">
        <f>D22-C22</f>
        <v>1058</v>
      </c>
      <c r="F22" s="66"/>
      <c r="G22" s="66"/>
      <c r="H22" s="66"/>
      <c r="I22" s="132"/>
    </row>
    <row r="23" spans="1:9" ht="13.75" customHeight="1" thickTop="1" x14ac:dyDescent="0.35">
      <c r="A23" s="65"/>
      <c r="B23" s="66"/>
      <c r="C23" s="66"/>
      <c r="D23" s="66"/>
      <c r="E23" s="66"/>
      <c r="F23" s="66"/>
      <c r="G23" s="66"/>
      <c r="H23" s="66"/>
      <c r="I23" s="132"/>
    </row>
    <row r="24" spans="1:9" ht="13.75" customHeight="1" thickBot="1" x14ac:dyDescent="0.4">
      <c r="A24" s="65"/>
      <c r="B24" s="66"/>
      <c r="C24" s="66"/>
      <c r="D24" s="66"/>
      <c r="E24" s="66"/>
      <c r="F24" s="66"/>
      <c r="G24" s="66"/>
      <c r="H24" s="66"/>
      <c r="I24" s="132"/>
    </row>
    <row r="25" spans="1:9" ht="30" customHeight="1" thickTop="1" x14ac:dyDescent="0.4">
      <c r="A25" s="328" t="s">
        <v>18</v>
      </c>
      <c r="B25" s="329"/>
      <c r="C25" s="30"/>
      <c r="D25" s="53">
        <v>30</v>
      </c>
      <c r="E25" s="41"/>
      <c r="F25" s="42"/>
      <c r="G25" s="64"/>
      <c r="H25" s="64"/>
      <c r="I25" s="140"/>
    </row>
    <row r="26" spans="1:9" ht="30" customHeight="1" x14ac:dyDescent="0.4">
      <c r="A26" s="330" t="s">
        <v>19</v>
      </c>
      <c r="B26" s="331"/>
      <c r="C26" s="31"/>
      <c r="D26" s="26"/>
      <c r="E26" s="43"/>
      <c r="F26" s="44"/>
      <c r="G26" s="64"/>
      <c r="H26" s="64"/>
      <c r="I26" s="140"/>
    </row>
    <row r="27" spans="1:9" ht="30" customHeight="1" x14ac:dyDescent="0.4">
      <c r="A27" s="330" t="s">
        <v>20</v>
      </c>
      <c r="B27" s="331"/>
      <c r="C27" s="31"/>
      <c r="D27" s="26"/>
      <c r="E27" s="43"/>
      <c r="F27" s="44"/>
      <c r="G27" s="64"/>
      <c r="H27" s="64"/>
      <c r="I27" s="140"/>
    </row>
    <row r="28" spans="1:9" ht="30" customHeight="1" thickBot="1" x14ac:dyDescent="0.45">
      <c r="A28" s="332" t="s">
        <v>21</v>
      </c>
      <c r="B28" s="333"/>
      <c r="C28" s="32"/>
      <c r="D28" s="29"/>
      <c r="E28" s="43"/>
      <c r="F28" s="44"/>
      <c r="G28" s="64"/>
      <c r="H28" s="64"/>
      <c r="I28" s="140"/>
    </row>
    <row r="29" spans="1:9" ht="30" customHeight="1" thickTop="1" thickBot="1" x14ac:dyDescent="0.45">
      <c r="A29" s="334" t="s">
        <v>20</v>
      </c>
      <c r="B29" s="335"/>
      <c r="C29" s="33"/>
      <c r="D29" s="54">
        <f>D28+D27</f>
        <v>0</v>
      </c>
      <c r="E29" s="43"/>
      <c r="F29" s="42"/>
      <c r="G29" s="64"/>
      <c r="H29" s="64"/>
      <c r="I29" s="140"/>
    </row>
    <row r="30" spans="1:9" ht="13.75" customHeight="1" thickTop="1" thickBot="1" x14ac:dyDescent="0.5">
      <c r="A30" s="88"/>
      <c r="B30" s="89"/>
      <c r="C30" s="89"/>
      <c r="D30" s="89"/>
      <c r="E30" s="89"/>
      <c r="F30" s="89"/>
      <c r="G30" s="89"/>
      <c r="H30" s="89"/>
      <c r="I30" s="141"/>
    </row>
    <row r="31" spans="1:9" ht="25" customHeight="1" thickTop="1" thickBot="1" x14ac:dyDescent="0.45">
      <c r="A31" s="387" t="s">
        <v>22</v>
      </c>
      <c r="B31" s="388"/>
      <c r="C31" s="388"/>
      <c r="D31" s="388"/>
      <c r="E31" s="388"/>
      <c r="F31" s="388"/>
      <c r="G31" s="388"/>
      <c r="H31" s="388"/>
      <c r="I31" s="389"/>
    </row>
    <row r="32" spans="1:9" ht="25" customHeight="1" thickTop="1" thickBot="1" x14ac:dyDescent="0.65">
      <c r="A32" s="375" t="s">
        <v>23</v>
      </c>
      <c r="B32" s="376"/>
      <c r="C32" s="142"/>
      <c r="D32" s="143"/>
      <c r="E32" s="144"/>
      <c r="F32" s="145"/>
      <c r="G32" s="41" t="s">
        <v>24</v>
      </c>
      <c r="H32" s="377">
        <v>45960</v>
      </c>
      <c r="I32" s="378"/>
    </row>
    <row r="33" spans="1:9" ht="25" customHeight="1" thickTop="1" thickBot="1" x14ac:dyDescent="0.65">
      <c r="A33" s="379" t="s">
        <v>25</v>
      </c>
      <c r="B33" s="380"/>
      <c r="C33" s="42"/>
      <c r="D33" s="381" t="s">
        <v>26</v>
      </c>
      <c r="E33" s="381"/>
      <c r="F33" s="381"/>
      <c r="G33" s="381"/>
      <c r="H33" s="381"/>
      <c r="I33" s="140"/>
    </row>
    <row r="34" spans="1:9" ht="25" customHeight="1" thickTop="1" x14ac:dyDescent="0.4">
      <c r="A34" s="382" t="s">
        <v>27</v>
      </c>
      <c r="B34" s="383"/>
      <c r="C34" s="383"/>
      <c r="D34" s="383"/>
      <c r="E34" s="383"/>
      <c r="F34" s="145"/>
      <c r="G34" s="383" t="s">
        <v>28</v>
      </c>
      <c r="H34" s="383"/>
      <c r="I34" s="384"/>
    </row>
    <row r="35" spans="1:9" ht="25" customHeight="1" thickBot="1" x14ac:dyDescent="0.45">
      <c r="A35" s="382" t="s">
        <v>29</v>
      </c>
      <c r="B35" s="383"/>
      <c r="C35" s="383"/>
      <c r="D35" s="383"/>
      <c r="E35" s="41" t="s">
        <v>30</v>
      </c>
      <c r="F35" s="41"/>
      <c r="G35" s="385"/>
      <c r="H35" s="385"/>
      <c r="I35" s="146"/>
    </row>
    <row r="36" spans="1:9" ht="25" customHeight="1" thickTop="1" thickBot="1" x14ac:dyDescent="0.45">
      <c r="A36" s="379" t="s">
        <v>30</v>
      </c>
      <c r="B36" s="380"/>
      <c r="C36" s="42"/>
      <c r="D36" s="147"/>
      <c r="E36" s="41" t="s">
        <v>31</v>
      </c>
      <c r="F36" s="41"/>
      <c r="G36" s="386"/>
      <c r="H36" s="386"/>
      <c r="I36" s="140"/>
    </row>
    <row r="37" spans="1:9" ht="25" customHeight="1" thickTop="1" thickBot="1" x14ac:dyDescent="0.45">
      <c r="A37" s="379" t="s">
        <v>23</v>
      </c>
      <c r="B37" s="380"/>
      <c r="C37" s="42"/>
      <c r="D37" s="147"/>
      <c r="E37" s="41" t="s">
        <v>23</v>
      </c>
      <c r="F37" s="41"/>
      <c r="G37" s="147"/>
      <c r="H37" s="41" t="s">
        <v>0</v>
      </c>
      <c r="I37" s="148"/>
    </row>
    <row r="38" spans="1:9" ht="25" customHeight="1" thickTop="1" thickBot="1" x14ac:dyDescent="0.45">
      <c r="A38" s="372" t="s">
        <v>52</v>
      </c>
      <c r="B38" s="373"/>
      <c r="C38" s="373"/>
      <c r="D38" s="373"/>
      <c r="E38" s="373"/>
      <c r="F38" s="373"/>
      <c r="G38" s="373"/>
      <c r="H38" s="373"/>
      <c r="I38" s="374"/>
    </row>
    <row r="39" spans="1:9" ht="14.5" customHeight="1" thickTop="1" x14ac:dyDescent="0.35">
      <c r="A39" s="66"/>
      <c r="B39" s="66"/>
      <c r="C39" s="66"/>
      <c r="D39" s="66"/>
      <c r="E39" s="66"/>
      <c r="F39" s="66"/>
      <c r="G39" s="66"/>
      <c r="H39" s="66"/>
      <c r="I39" s="66"/>
    </row>
  </sheetData>
  <mergeCells count="31">
    <mergeCell ref="A16:A18"/>
    <mergeCell ref="B16:B18"/>
    <mergeCell ref="A35:D35"/>
    <mergeCell ref="G35:H35"/>
    <mergeCell ref="A36:B36"/>
    <mergeCell ref="G36:H36"/>
    <mergeCell ref="A22:B22"/>
    <mergeCell ref="A25:B25"/>
    <mergeCell ref="A26:B26"/>
    <mergeCell ref="A27:B27"/>
    <mergeCell ref="A28:B28"/>
    <mergeCell ref="A29:B29"/>
    <mergeCell ref="A19:A21"/>
    <mergeCell ref="B19:B21"/>
    <mergeCell ref="A37:B37"/>
    <mergeCell ref="A38:I38"/>
    <mergeCell ref="A31:I31"/>
    <mergeCell ref="A32:B32"/>
    <mergeCell ref="H32:I32"/>
    <mergeCell ref="A33:B33"/>
    <mergeCell ref="D33:H33"/>
    <mergeCell ref="A34:E34"/>
    <mergeCell ref="G34:I34"/>
    <mergeCell ref="A11:A13"/>
    <mergeCell ref="B11:B13"/>
    <mergeCell ref="A14:A15"/>
    <mergeCell ref="B14:B15"/>
    <mergeCell ref="A2:E2"/>
    <mergeCell ref="A4:E4"/>
    <mergeCell ref="C5:D5"/>
    <mergeCell ref="C6:D7"/>
  </mergeCells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0"/>
  <sheetViews>
    <sheetView rightToLeft="1" topLeftCell="B31" zoomScaleNormal="100" workbookViewId="0">
      <selection activeCell="E38" sqref="E38"/>
    </sheetView>
  </sheetViews>
  <sheetFormatPr defaultRowHeight="14" x14ac:dyDescent="0.3"/>
  <cols>
    <col min="1" max="1" width="25.58203125" customWidth="1"/>
    <col min="2" max="3" width="20.58203125" customWidth="1"/>
    <col min="4" max="4" width="15.58203125" customWidth="1"/>
    <col min="5" max="5" width="77.5" customWidth="1"/>
  </cols>
  <sheetData>
    <row r="1" spans="1:11" ht="13.75" customHeight="1" thickBot="1" x14ac:dyDescent="0.35"/>
    <row r="2" spans="1:11" ht="35.15" customHeight="1" thickTop="1" thickBot="1" x14ac:dyDescent="0.6">
      <c r="A2" s="293" t="s">
        <v>2</v>
      </c>
      <c r="B2" s="294"/>
      <c r="C2" s="294"/>
      <c r="D2" s="294"/>
      <c r="E2" s="295"/>
      <c r="F2" s="34"/>
      <c r="G2" s="34"/>
      <c r="H2" s="130"/>
      <c r="I2" s="131"/>
    </row>
    <row r="3" spans="1:11" ht="13.75" customHeight="1" thickTop="1" thickBot="1" x14ac:dyDescent="0.4">
      <c r="A3" s="77"/>
      <c r="B3" s="78"/>
      <c r="C3" s="78"/>
      <c r="D3" s="78"/>
      <c r="E3" s="78"/>
      <c r="F3" s="66"/>
      <c r="G3" s="66"/>
      <c r="H3" s="66"/>
      <c r="I3" s="132"/>
    </row>
    <row r="4" spans="1:11" ht="35.15" customHeight="1" thickTop="1" thickBot="1" x14ac:dyDescent="0.4">
      <c r="A4" s="296" t="s">
        <v>239</v>
      </c>
      <c r="B4" s="297"/>
      <c r="C4" s="297"/>
      <c r="D4" s="297"/>
      <c r="E4" s="298"/>
      <c r="F4" s="66"/>
      <c r="G4" s="66"/>
      <c r="H4" s="66"/>
      <c r="I4" s="132"/>
    </row>
    <row r="5" spans="1:11" ht="50.15" customHeight="1" thickTop="1" thickBot="1" x14ac:dyDescent="0.4">
      <c r="A5" s="58" t="s">
        <v>3</v>
      </c>
      <c r="B5" s="59" t="s">
        <v>15</v>
      </c>
      <c r="C5" s="299" t="s">
        <v>13</v>
      </c>
      <c r="D5" s="300"/>
      <c r="E5" s="60" t="s">
        <v>14</v>
      </c>
      <c r="F5" s="66"/>
      <c r="G5" s="66"/>
      <c r="H5" s="66"/>
      <c r="I5" s="132"/>
    </row>
    <row r="6" spans="1:11" ht="30" customHeight="1" thickTop="1" thickBot="1" x14ac:dyDescent="0.4">
      <c r="A6" s="61" t="s">
        <v>42</v>
      </c>
      <c r="B6" s="61" t="s">
        <v>33</v>
      </c>
      <c r="C6" s="301">
        <v>45962</v>
      </c>
      <c r="D6" s="302"/>
      <c r="E6" s="61" t="s">
        <v>2</v>
      </c>
      <c r="F6" s="66"/>
      <c r="G6" s="66"/>
      <c r="H6" s="66"/>
      <c r="I6" s="132"/>
    </row>
    <row r="7" spans="1:11" ht="30" customHeight="1" thickTop="1" thickBot="1" x14ac:dyDescent="0.4">
      <c r="A7" s="61" t="s">
        <v>4</v>
      </c>
      <c r="B7" s="61" t="s">
        <v>5</v>
      </c>
      <c r="C7" s="303"/>
      <c r="D7" s="304"/>
      <c r="E7" s="150" t="s">
        <v>240</v>
      </c>
      <c r="F7" s="66"/>
      <c r="G7" s="66"/>
      <c r="H7" s="66"/>
      <c r="I7" s="132"/>
    </row>
    <row r="8" spans="1:11" ht="13.75" customHeight="1" thickTop="1" x14ac:dyDescent="0.35">
      <c r="A8" s="63"/>
      <c r="B8" s="64"/>
      <c r="C8" s="64"/>
      <c r="D8" s="64"/>
      <c r="E8" s="64"/>
      <c r="F8" s="66"/>
      <c r="G8" s="66"/>
      <c r="H8" s="66"/>
      <c r="I8" s="132"/>
    </row>
    <row r="9" spans="1:11" ht="13.75" customHeight="1" thickBot="1" x14ac:dyDescent="0.4">
      <c r="A9" s="65"/>
      <c r="B9" s="66"/>
      <c r="C9" s="66"/>
      <c r="D9" s="66"/>
      <c r="E9" s="66"/>
      <c r="F9" s="66"/>
      <c r="G9" s="66"/>
      <c r="H9" s="66"/>
      <c r="I9" s="132"/>
    </row>
    <row r="10" spans="1:11" ht="35.15" customHeight="1" x14ac:dyDescent="0.35">
      <c r="A10" s="133" t="s">
        <v>0</v>
      </c>
      <c r="B10" s="134" t="s">
        <v>6</v>
      </c>
      <c r="C10" s="135" t="s">
        <v>9</v>
      </c>
      <c r="D10" s="134" t="s">
        <v>35</v>
      </c>
      <c r="E10" s="136" t="s">
        <v>10</v>
      </c>
      <c r="F10" s="66"/>
      <c r="G10" s="66"/>
      <c r="H10" s="66"/>
      <c r="I10" s="132"/>
      <c r="K10" t="s">
        <v>51</v>
      </c>
    </row>
    <row r="11" spans="1:11" ht="35.15" customHeight="1" x14ac:dyDescent="0.35">
      <c r="A11" s="392">
        <v>45963</v>
      </c>
      <c r="B11" s="393" t="s">
        <v>17</v>
      </c>
      <c r="C11" s="74">
        <v>2.5</v>
      </c>
      <c r="D11" s="74" t="s">
        <v>36</v>
      </c>
      <c r="E11" s="137" t="s">
        <v>243</v>
      </c>
      <c r="F11" s="66"/>
      <c r="G11" s="66"/>
      <c r="H11" s="66"/>
      <c r="I11" s="132"/>
    </row>
    <row r="12" spans="1:11" ht="35.15" customHeight="1" x14ac:dyDescent="0.35">
      <c r="A12" s="392"/>
      <c r="B12" s="393"/>
      <c r="C12" s="74">
        <v>2</v>
      </c>
      <c r="D12" s="74" t="s">
        <v>36</v>
      </c>
      <c r="E12" s="137" t="s">
        <v>241</v>
      </c>
      <c r="F12" s="66"/>
      <c r="G12" s="66"/>
      <c r="H12" s="66"/>
      <c r="I12" s="132"/>
    </row>
    <row r="13" spans="1:11" ht="35.15" customHeight="1" x14ac:dyDescent="0.35">
      <c r="A13" s="392"/>
      <c r="B13" s="393"/>
      <c r="C13" s="74">
        <v>2</v>
      </c>
      <c r="D13" s="74" t="s">
        <v>36</v>
      </c>
      <c r="E13" s="137" t="s">
        <v>237</v>
      </c>
      <c r="F13" s="66"/>
      <c r="G13" s="66"/>
      <c r="H13" s="66"/>
      <c r="I13" s="132"/>
    </row>
    <row r="14" spans="1:11" ht="40" customHeight="1" x14ac:dyDescent="0.35">
      <c r="A14" s="392">
        <v>45964</v>
      </c>
      <c r="B14" s="366" t="s">
        <v>34</v>
      </c>
      <c r="C14" s="74">
        <v>3</v>
      </c>
      <c r="D14" s="74" t="s">
        <v>37</v>
      </c>
      <c r="E14" s="137" t="s">
        <v>245</v>
      </c>
      <c r="F14" s="66"/>
      <c r="G14" s="66"/>
      <c r="H14" s="66"/>
      <c r="I14" s="132"/>
    </row>
    <row r="15" spans="1:11" ht="35.15" customHeight="1" x14ac:dyDescent="0.35">
      <c r="A15" s="392"/>
      <c r="B15" s="370"/>
      <c r="C15" s="74">
        <v>4</v>
      </c>
      <c r="D15" s="74" t="s">
        <v>37</v>
      </c>
      <c r="E15" s="149" t="s">
        <v>244</v>
      </c>
      <c r="F15" s="66"/>
      <c r="G15" s="66"/>
      <c r="H15" s="66"/>
      <c r="I15" s="132"/>
    </row>
    <row r="16" spans="1:11" ht="35.15" customHeight="1" x14ac:dyDescent="0.35">
      <c r="A16" s="392"/>
      <c r="B16" s="367"/>
      <c r="C16" s="74">
        <v>1</v>
      </c>
      <c r="D16" s="74" t="s">
        <v>37</v>
      </c>
      <c r="E16" s="137" t="s">
        <v>246</v>
      </c>
      <c r="F16" s="66"/>
      <c r="G16" s="66"/>
      <c r="H16" s="66"/>
      <c r="I16" s="132"/>
    </row>
    <row r="17" spans="1:9" ht="35.15" customHeight="1" x14ac:dyDescent="0.35">
      <c r="A17" s="151">
        <v>45967</v>
      </c>
      <c r="B17" s="152" t="s">
        <v>8</v>
      </c>
      <c r="C17" s="74">
        <v>5</v>
      </c>
      <c r="D17" s="74" t="s">
        <v>37</v>
      </c>
      <c r="E17" s="137" t="s">
        <v>251</v>
      </c>
      <c r="F17" s="66"/>
      <c r="G17" s="66"/>
      <c r="H17" s="66"/>
      <c r="I17" s="132"/>
    </row>
    <row r="18" spans="1:9" ht="35.15" customHeight="1" x14ac:dyDescent="0.35">
      <c r="A18" s="368">
        <v>45970</v>
      </c>
      <c r="B18" s="366" t="s">
        <v>17</v>
      </c>
      <c r="C18" s="74">
        <v>2</v>
      </c>
      <c r="D18" s="74" t="s">
        <v>36</v>
      </c>
      <c r="E18" s="137" t="s">
        <v>247</v>
      </c>
      <c r="F18" s="66"/>
      <c r="G18" s="66"/>
      <c r="H18" s="66"/>
      <c r="I18" s="132"/>
    </row>
    <row r="19" spans="1:9" ht="35.15" customHeight="1" x14ac:dyDescent="0.35">
      <c r="A19" s="369"/>
      <c r="B19" s="370"/>
      <c r="C19" s="74">
        <v>1</v>
      </c>
      <c r="D19" s="74" t="s">
        <v>36</v>
      </c>
      <c r="E19" s="137" t="s">
        <v>248</v>
      </c>
      <c r="F19" s="66"/>
      <c r="G19" s="66"/>
      <c r="H19" s="66"/>
      <c r="I19" s="132"/>
    </row>
    <row r="20" spans="1:9" ht="35.15" customHeight="1" x14ac:dyDescent="0.35">
      <c r="A20" s="369"/>
      <c r="B20" s="370"/>
      <c r="C20" s="74">
        <v>1</v>
      </c>
      <c r="D20" s="74" t="s">
        <v>36</v>
      </c>
      <c r="E20" s="137" t="s">
        <v>249</v>
      </c>
      <c r="F20" s="66"/>
      <c r="G20" s="66"/>
      <c r="H20" s="66"/>
      <c r="I20" s="132"/>
    </row>
    <row r="21" spans="1:9" ht="50.15" customHeight="1" x14ac:dyDescent="0.35">
      <c r="A21" s="371"/>
      <c r="B21" s="367"/>
      <c r="C21" s="74">
        <v>3.5</v>
      </c>
      <c r="D21" s="74" t="s">
        <v>36</v>
      </c>
      <c r="E21" s="137" t="s">
        <v>250</v>
      </c>
      <c r="F21" s="66"/>
      <c r="G21" s="66"/>
      <c r="H21" s="66"/>
      <c r="I21" s="132"/>
    </row>
    <row r="22" spans="1:9" ht="35.15" customHeight="1" x14ac:dyDescent="0.35">
      <c r="A22" s="73">
        <v>45971</v>
      </c>
      <c r="B22" s="74" t="s">
        <v>34</v>
      </c>
      <c r="C22" s="74">
        <v>2</v>
      </c>
      <c r="D22" s="74" t="s">
        <v>37</v>
      </c>
      <c r="E22" s="137" t="s">
        <v>252</v>
      </c>
      <c r="F22" s="66"/>
      <c r="G22" s="66"/>
      <c r="H22" s="66"/>
      <c r="I22" s="132"/>
    </row>
    <row r="23" spans="1:9" ht="35.15" customHeight="1" x14ac:dyDescent="0.35">
      <c r="A23" s="368">
        <v>45972</v>
      </c>
      <c r="B23" s="366" t="s">
        <v>40</v>
      </c>
      <c r="C23" s="74">
        <v>2</v>
      </c>
      <c r="D23" s="74" t="s">
        <v>36</v>
      </c>
      <c r="E23" s="137" t="s">
        <v>253</v>
      </c>
      <c r="F23" s="66"/>
      <c r="G23" s="66"/>
      <c r="H23" s="66"/>
      <c r="I23" s="132"/>
    </row>
    <row r="24" spans="1:9" ht="35.15" customHeight="1" x14ac:dyDescent="0.35">
      <c r="A24" s="369"/>
      <c r="B24" s="370"/>
      <c r="C24" s="74">
        <v>2</v>
      </c>
      <c r="D24" s="74" t="s">
        <v>36</v>
      </c>
      <c r="E24" s="149" t="s">
        <v>254</v>
      </c>
      <c r="F24" s="66"/>
      <c r="G24" s="66"/>
      <c r="H24" s="66"/>
      <c r="I24" s="132"/>
    </row>
    <row r="25" spans="1:9" ht="35.15" customHeight="1" x14ac:dyDescent="0.35">
      <c r="A25" s="369"/>
      <c r="B25" s="370"/>
      <c r="C25" s="74">
        <v>3</v>
      </c>
      <c r="D25" s="74" t="s">
        <v>36</v>
      </c>
      <c r="E25" s="137" t="s">
        <v>255</v>
      </c>
      <c r="F25" s="66"/>
      <c r="G25" s="66"/>
      <c r="H25" s="66"/>
      <c r="I25" s="132"/>
    </row>
    <row r="26" spans="1:9" ht="35.15" customHeight="1" x14ac:dyDescent="0.35">
      <c r="A26" s="73">
        <v>45974</v>
      </c>
      <c r="B26" s="74" t="s">
        <v>8</v>
      </c>
      <c r="C26" s="74">
        <v>3</v>
      </c>
      <c r="D26" s="74" t="s">
        <v>37</v>
      </c>
      <c r="E26" s="137" t="s">
        <v>257</v>
      </c>
      <c r="F26" s="66"/>
      <c r="G26" s="66"/>
      <c r="H26" s="66"/>
      <c r="I26" s="132"/>
    </row>
    <row r="27" spans="1:9" ht="50.15" customHeight="1" x14ac:dyDescent="0.35">
      <c r="A27" s="368">
        <v>45972</v>
      </c>
      <c r="B27" s="366" t="s">
        <v>40</v>
      </c>
      <c r="C27" s="74">
        <v>2</v>
      </c>
      <c r="D27" s="74" t="s">
        <v>36</v>
      </c>
      <c r="E27" s="137" t="s">
        <v>253</v>
      </c>
      <c r="F27" s="66"/>
      <c r="G27" s="66"/>
      <c r="H27" s="66"/>
      <c r="I27" s="132"/>
    </row>
    <row r="28" spans="1:9" ht="35.15" customHeight="1" x14ac:dyDescent="0.35">
      <c r="A28" s="369"/>
      <c r="B28" s="370"/>
      <c r="C28" s="74">
        <v>2</v>
      </c>
      <c r="D28" s="74" t="s">
        <v>36</v>
      </c>
      <c r="E28" s="137" t="s">
        <v>259</v>
      </c>
      <c r="F28" s="66"/>
      <c r="G28" s="66"/>
      <c r="H28" s="66"/>
      <c r="I28" s="132"/>
    </row>
    <row r="29" spans="1:9" ht="40" customHeight="1" x14ac:dyDescent="0.35">
      <c r="A29" s="369"/>
      <c r="B29" s="370"/>
      <c r="C29" s="74">
        <v>3</v>
      </c>
      <c r="D29" s="74" t="s">
        <v>36</v>
      </c>
      <c r="E29" s="137" t="s">
        <v>255</v>
      </c>
      <c r="F29" s="66"/>
      <c r="G29" s="66"/>
      <c r="H29" s="66"/>
      <c r="I29" s="132"/>
    </row>
    <row r="30" spans="1:9" ht="40" customHeight="1" x14ac:dyDescent="0.35">
      <c r="A30" s="368">
        <v>45974</v>
      </c>
      <c r="B30" s="366" t="s">
        <v>8</v>
      </c>
      <c r="C30" s="74">
        <v>5</v>
      </c>
      <c r="D30" s="74" t="s">
        <v>37</v>
      </c>
      <c r="E30" s="137" t="s">
        <v>258</v>
      </c>
      <c r="F30" s="66"/>
      <c r="G30" s="66"/>
      <c r="H30" s="66"/>
      <c r="I30" s="132"/>
    </row>
    <row r="31" spans="1:9" ht="35.15" customHeight="1" x14ac:dyDescent="0.35">
      <c r="A31" s="371"/>
      <c r="B31" s="367"/>
      <c r="C31" s="74">
        <v>1</v>
      </c>
      <c r="D31" s="74" t="s">
        <v>37</v>
      </c>
      <c r="E31" s="137" t="s">
        <v>260</v>
      </c>
      <c r="F31" s="66"/>
      <c r="G31" s="66"/>
      <c r="H31" s="66"/>
      <c r="I31" s="132"/>
    </row>
    <row r="32" spans="1:9" ht="35.15" customHeight="1" x14ac:dyDescent="0.35">
      <c r="A32" s="368">
        <v>45979</v>
      </c>
      <c r="B32" s="366" t="s">
        <v>40</v>
      </c>
      <c r="C32" s="74">
        <v>3</v>
      </c>
      <c r="D32" s="74" t="s">
        <v>37</v>
      </c>
      <c r="E32" s="137" t="s">
        <v>274</v>
      </c>
      <c r="F32" s="66"/>
      <c r="G32" s="66"/>
      <c r="H32" s="66"/>
      <c r="I32" s="132"/>
    </row>
    <row r="33" spans="1:9" ht="35.15" customHeight="1" x14ac:dyDescent="0.35">
      <c r="A33" s="369"/>
      <c r="B33" s="370"/>
      <c r="C33" s="74">
        <v>2</v>
      </c>
      <c r="D33" s="74" t="s">
        <v>37</v>
      </c>
      <c r="E33" s="137" t="s">
        <v>264</v>
      </c>
      <c r="F33" s="66"/>
      <c r="G33" s="66"/>
      <c r="H33" s="66"/>
      <c r="I33" s="132"/>
    </row>
    <row r="34" spans="1:9" ht="35.15" customHeight="1" x14ac:dyDescent="0.35">
      <c r="A34" s="371"/>
      <c r="B34" s="367"/>
      <c r="C34" s="74">
        <v>2.5</v>
      </c>
      <c r="D34" s="74" t="s">
        <v>37</v>
      </c>
      <c r="E34" s="137" t="s">
        <v>261</v>
      </c>
      <c r="F34" s="66"/>
      <c r="G34" s="66"/>
      <c r="H34" s="66"/>
      <c r="I34" s="132"/>
    </row>
    <row r="35" spans="1:9" ht="35.15" customHeight="1" x14ac:dyDescent="0.35">
      <c r="A35" s="368">
        <v>45980</v>
      </c>
      <c r="B35" s="366" t="s">
        <v>7</v>
      </c>
      <c r="C35" s="74">
        <v>1.5</v>
      </c>
      <c r="D35" s="74" t="s">
        <v>36</v>
      </c>
      <c r="E35" s="137" t="s">
        <v>262</v>
      </c>
      <c r="F35" s="66"/>
      <c r="G35" s="66"/>
      <c r="H35" s="66"/>
      <c r="I35" s="132"/>
    </row>
    <row r="36" spans="1:9" ht="35.15" customHeight="1" x14ac:dyDescent="0.35">
      <c r="A36" s="369"/>
      <c r="B36" s="370"/>
      <c r="C36" s="74">
        <v>5</v>
      </c>
      <c r="D36" s="74" t="s">
        <v>36</v>
      </c>
      <c r="E36" s="137" t="s">
        <v>265</v>
      </c>
      <c r="F36" s="66"/>
      <c r="G36" s="66"/>
      <c r="H36" s="66"/>
      <c r="I36" s="132"/>
    </row>
    <row r="37" spans="1:9" ht="35.15" customHeight="1" x14ac:dyDescent="0.35">
      <c r="A37" s="371"/>
      <c r="B37" s="367"/>
      <c r="C37" s="74">
        <v>2</v>
      </c>
      <c r="D37" s="74" t="s">
        <v>36</v>
      </c>
      <c r="E37" s="137" t="s">
        <v>263</v>
      </c>
      <c r="F37" s="66"/>
      <c r="G37" s="66"/>
      <c r="H37" s="66"/>
      <c r="I37" s="132"/>
    </row>
    <row r="38" spans="1:9" ht="35.15" customHeight="1" x14ac:dyDescent="0.35">
      <c r="A38" s="368">
        <v>45984</v>
      </c>
      <c r="B38" s="366" t="s">
        <v>17</v>
      </c>
      <c r="C38" s="74">
        <v>2</v>
      </c>
      <c r="D38" s="74" t="s">
        <v>36</v>
      </c>
      <c r="E38" s="137" t="s">
        <v>266</v>
      </c>
      <c r="F38" s="66"/>
      <c r="G38" s="66"/>
      <c r="H38" s="66"/>
      <c r="I38" s="132"/>
    </row>
    <row r="39" spans="1:9" ht="35.15" customHeight="1" x14ac:dyDescent="0.35">
      <c r="A39" s="369"/>
      <c r="B39" s="370"/>
      <c r="C39" s="74">
        <v>1</v>
      </c>
      <c r="D39" s="74" t="s">
        <v>36</v>
      </c>
      <c r="E39" s="137" t="s">
        <v>267</v>
      </c>
      <c r="F39" s="66"/>
      <c r="G39" s="66"/>
      <c r="H39" s="66"/>
      <c r="I39" s="132"/>
    </row>
    <row r="40" spans="1:9" ht="35.15" customHeight="1" x14ac:dyDescent="0.35">
      <c r="A40" s="371"/>
      <c r="B40" s="367"/>
      <c r="C40" s="74">
        <v>6</v>
      </c>
      <c r="D40" s="74" t="s">
        <v>36</v>
      </c>
      <c r="E40" s="137" t="s">
        <v>268</v>
      </c>
      <c r="F40" s="66"/>
      <c r="G40" s="66"/>
      <c r="H40" s="66"/>
      <c r="I40" s="132"/>
    </row>
    <row r="41" spans="1:9" ht="35.15" customHeight="1" x14ac:dyDescent="0.35">
      <c r="A41" s="368">
        <v>45991</v>
      </c>
      <c r="B41" s="366" t="s">
        <v>8</v>
      </c>
      <c r="C41" s="74">
        <v>3</v>
      </c>
      <c r="D41" s="74" t="s">
        <v>36</v>
      </c>
      <c r="E41" s="137" t="s">
        <v>269</v>
      </c>
      <c r="F41" s="66"/>
      <c r="G41" s="66"/>
      <c r="H41" s="66"/>
      <c r="I41" s="132"/>
    </row>
    <row r="42" spans="1:9" ht="40" customHeight="1" x14ac:dyDescent="0.35">
      <c r="A42" s="371"/>
      <c r="B42" s="367"/>
      <c r="C42" s="74">
        <v>3</v>
      </c>
      <c r="D42" s="74" t="s">
        <v>36</v>
      </c>
      <c r="E42" s="137" t="s">
        <v>270</v>
      </c>
      <c r="F42" s="66"/>
      <c r="G42" s="66"/>
      <c r="H42" s="66"/>
      <c r="I42" s="132"/>
    </row>
    <row r="43" spans="1:9" ht="35.15" customHeight="1" thickBot="1" x14ac:dyDescent="0.55000000000000004">
      <c r="A43" s="394" t="s">
        <v>1</v>
      </c>
      <c r="B43" s="395"/>
      <c r="C43" s="138">
        <f>SUM(C11:C42)</f>
        <v>83</v>
      </c>
      <c r="D43" s="138">
        <f>+'אוקטובר 2025   '!E22</f>
        <v>1058</v>
      </c>
      <c r="E43" s="139">
        <f>D43-C43</f>
        <v>975</v>
      </c>
      <c r="F43" s="66"/>
      <c r="G43" s="66"/>
      <c r="H43" s="66"/>
      <c r="I43" s="132"/>
    </row>
    <row r="44" spans="1:9" ht="13.75" customHeight="1" thickTop="1" x14ac:dyDescent="0.35">
      <c r="A44" s="65"/>
      <c r="B44" s="66"/>
      <c r="C44" s="66"/>
      <c r="D44" s="66"/>
      <c r="E44" s="66"/>
      <c r="F44" s="66"/>
      <c r="G44" s="66"/>
      <c r="H44" s="66"/>
      <c r="I44" s="132"/>
    </row>
    <row r="45" spans="1:9" ht="13.75" customHeight="1" thickBot="1" x14ac:dyDescent="0.4">
      <c r="A45" s="65"/>
      <c r="B45" s="66"/>
      <c r="C45" s="66"/>
      <c r="D45" s="66"/>
      <c r="E45" s="66"/>
      <c r="F45" s="66"/>
      <c r="G45" s="66"/>
      <c r="H45" s="66"/>
      <c r="I45" s="132"/>
    </row>
    <row r="46" spans="1:9" ht="30" customHeight="1" thickTop="1" x14ac:dyDescent="0.4">
      <c r="A46" s="328" t="s">
        <v>18</v>
      </c>
      <c r="B46" s="329"/>
      <c r="C46" s="30"/>
      <c r="D46" s="53">
        <v>83</v>
      </c>
      <c r="E46" s="41"/>
      <c r="F46" s="42"/>
      <c r="G46" s="64"/>
      <c r="H46" s="64"/>
      <c r="I46" s="140"/>
    </row>
    <row r="47" spans="1:9" ht="30" customHeight="1" x14ac:dyDescent="0.4">
      <c r="A47" s="330" t="s">
        <v>19</v>
      </c>
      <c r="B47" s="331"/>
      <c r="C47" s="31"/>
      <c r="D47" s="26"/>
      <c r="E47" s="43"/>
      <c r="F47" s="44"/>
      <c r="G47" s="64"/>
      <c r="H47" s="64"/>
      <c r="I47" s="140"/>
    </row>
    <row r="48" spans="1:9" ht="30" customHeight="1" x14ac:dyDescent="0.4">
      <c r="A48" s="330" t="s">
        <v>20</v>
      </c>
      <c r="B48" s="331"/>
      <c r="C48" s="31"/>
      <c r="D48" s="26"/>
      <c r="E48" s="43"/>
      <c r="F48" s="44"/>
      <c r="G48" s="64"/>
      <c r="H48" s="64"/>
      <c r="I48" s="140"/>
    </row>
    <row r="49" spans="1:9" ht="30" customHeight="1" thickBot="1" x14ac:dyDescent="0.45">
      <c r="A49" s="332" t="s">
        <v>21</v>
      </c>
      <c r="B49" s="333"/>
      <c r="C49" s="32"/>
      <c r="D49" s="29"/>
      <c r="E49" s="43"/>
      <c r="F49" s="44"/>
      <c r="G49" s="64"/>
      <c r="H49" s="64"/>
      <c r="I49" s="140"/>
    </row>
    <row r="50" spans="1:9" ht="30" customHeight="1" thickTop="1" thickBot="1" x14ac:dyDescent="0.45">
      <c r="A50" s="334" t="s">
        <v>20</v>
      </c>
      <c r="B50" s="335"/>
      <c r="C50" s="33"/>
      <c r="D50" s="54">
        <f>D49+D48</f>
        <v>0</v>
      </c>
      <c r="E50" s="43"/>
      <c r="F50" s="42"/>
      <c r="G50" s="64"/>
      <c r="H50" s="64"/>
      <c r="I50" s="140"/>
    </row>
    <row r="51" spans="1:9" ht="13.75" customHeight="1" thickTop="1" thickBot="1" x14ac:dyDescent="0.5">
      <c r="A51" s="88"/>
      <c r="B51" s="89"/>
      <c r="C51" s="89"/>
      <c r="D51" s="89"/>
      <c r="E51" s="89"/>
      <c r="F51" s="89"/>
      <c r="G51" s="89"/>
      <c r="H51" s="89"/>
      <c r="I51" s="141"/>
    </row>
    <row r="52" spans="1:9" ht="25" customHeight="1" thickTop="1" thickBot="1" x14ac:dyDescent="0.45">
      <c r="A52" s="387" t="s">
        <v>22</v>
      </c>
      <c r="B52" s="388"/>
      <c r="C52" s="388"/>
      <c r="D52" s="388"/>
      <c r="E52" s="388"/>
      <c r="F52" s="388"/>
      <c r="G52" s="388"/>
      <c r="H52" s="388"/>
      <c r="I52" s="389"/>
    </row>
    <row r="53" spans="1:9" ht="25" customHeight="1" thickTop="1" thickBot="1" x14ac:dyDescent="0.65">
      <c r="A53" s="375" t="s">
        <v>23</v>
      </c>
      <c r="B53" s="376"/>
      <c r="C53" s="142"/>
      <c r="D53" s="143"/>
      <c r="E53" s="144"/>
      <c r="F53" s="145"/>
      <c r="G53" s="41" t="s">
        <v>24</v>
      </c>
      <c r="H53" s="377">
        <v>45991</v>
      </c>
      <c r="I53" s="378"/>
    </row>
    <row r="54" spans="1:9" ht="25" customHeight="1" thickTop="1" thickBot="1" x14ac:dyDescent="0.65">
      <c r="A54" s="379" t="s">
        <v>25</v>
      </c>
      <c r="B54" s="380"/>
      <c r="C54" s="42"/>
      <c r="D54" s="381" t="s">
        <v>26</v>
      </c>
      <c r="E54" s="381"/>
      <c r="F54" s="381"/>
      <c r="G54" s="381"/>
      <c r="H54" s="381"/>
      <c r="I54" s="140"/>
    </row>
    <row r="55" spans="1:9" ht="25" customHeight="1" thickTop="1" x14ac:dyDescent="0.4">
      <c r="A55" s="382" t="s">
        <v>27</v>
      </c>
      <c r="B55" s="383"/>
      <c r="C55" s="383"/>
      <c r="D55" s="383"/>
      <c r="E55" s="383"/>
      <c r="F55" s="145"/>
      <c r="G55" s="383" t="s">
        <v>28</v>
      </c>
      <c r="H55" s="383"/>
      <c r="I55" s="384"/>
    </row>
    <row r="56" spans="1:9" ht="25" customHeight="1" thickBot="1" x14ac:dyDescent="0.45">
      <c r="A56" s="382" t="s">
        <v>29</v>
      </c>
      <c r="B56" s="383"/>
      <c r="C56" s="383"/>
      <c r="D56" s="383"/>
      <c r="E56" s="41" t="s">
        <v>30</v>
      </c>
      <c r="F56" s="41"/>
      <c r="G56" s="385"/>
      <c r="H56" s="385"/>
      <c r="I56" s="146"/>
    </row>
    <row r="57" spans="1:9" ht="25" customHeight="1" thickTop="1" thickBot="1" x14ac:dyDescent="0.45">
      <c r="A57" s="379" t="s">
        <v>30</v>
      </c>
      <c r="B57" s="380"/>
      <c r="C57" s="42"/>
      <c r="D57" s="147"/>
      <c r="E57" s="41" t="s">
        <v>31</v>
      </c>
      <c r="F57" s="41"/>
      <c r="G57" s="386"/>
      <c r="H57" s="386"/>
      <c r="I57" s="140"/>
    </row>
    <row r="58" spans="1:9" ht="25" customHeight="1" thickTop="1" thickBot="1" x14ac:dyDescent="0.45">
      <c r="A58" s="379" t="s">
        <v>23</v>
      </c>
      <c r="B58" s="380"/>
      <c r="C58" s="42"/>
      <c r="D58" s="147"/>
      <c r="E58" s="41" t="s">
        <v>23</v>
      </c>
      <c r="F58" s="41"/>
      <c r="G58" s="147"/>
      <c r="H58" s="41" t="s">
        <v>0</v>
      </c>
      <c r="I58" s="148"/>
    </row>
    <row r="59" spans="1:9" ht="25" customHeight="1" thickTop="1" thickBot="1" x14ac:dyDescent="0.45">
      <c r="A59" s="372" t="s">
        <v>52</v>
      </c>
      <c r="B59" s="373"/>
      <c r="C59" s="373"/>
      <c r="D59" s="373"/>
      <c r="E59" s="373"/>
      <c r="F59" s="373"/>
      <c r="G59" s="373"/>
      <c r="H59" s="373"/>
      <c r="I59" s="374"/>
    </row>
    <row r="60" spans="1:9" ht="14.5" customHeight="1" thickTop="1" x14ac:dyDescent="0.35">
      <c r="A60" s="66"/>
      <c r="B60" s="66"/>
      <c r="C60" s="66"/>
      <c r="D60" s="66"/>
      <c r="E60" s="66"/>
      <c r="F60" s="66"/>
      <c r="G60" s="66"/>
      <c r="H60" s="66"/>
      <c r="I60" s="66"/>
    </row>
  </sheetData>
  <mergeCells count="43">
    <mergeCell ref="A2:E2"/>
    <mergeCell ref="A4:E4"/>
    <mergeCell ref="C5:D5"/>
    <mergeCell ref="C6:D7"/>
    <mergeCell ref="A11:A13"/>
    <mergeCell ref="B11:B13"/>
    <mergeCell ref="A50:B50"/>
    <mergeCell ref="A14:A16"/>
    <mergeCell ref="B14:B16"/>
    <mergeCell ref="A27:A29"/>
    <mergeCell ref="B27:B29"/>
    <mergeCell ref="A43:B43"/>
    <mergeCell ref="A46:B46"/>
    <mergeCell ref="A47:B47"/>
    <mergeCell ref="A48:B48"/>
    <mergeCell ref="A49:B49"/>
    <mergeCell ref="A18:A21"/>
    <mergeCell ref="B18:B21"/>
    <mergeCell ref="A23:A25"/>
    <mergeCell ref="B23:B25"/>
    <mergeCell ref="A30:A31"/>
    <mergeCell ref="B30:B31"/>
    <mergeCell ref="A59:I59"/>
    <mergeCell ref="A52:I52"/>
    <mergeCell ref="A53:B53"/>
    <mergeCell ref="H53:I53"/>
    <mergeCell ref="A54:B54"/>
    <mergeCell ref="D54:H54"/>
    <mergeCell ref="A55:E55"/>
    <mergeCell ref="G55:I55"/>
    <mergeCell ref="A56:D56"/>
    <mergeCell ref="G56:H56"/>
    <mergeCell ref="A57:B57"/>
    <mergeCell ref="G57:H57"/>
    <mergeCell ref="A58:B58"/>
    <mergeCell ref="A41:A42"/>
    <mergeCell ref="B41:B42"/>
    <mergeCell ref="A32:A34"/>
    <mergeCell ref="B32:B34"/>
    <mergeCell ref="A35:A37"/>
    <mergeCell ref="B35:B37"/>
    <mergeCell ref="A38:A40"/>
    <mergeCell ref="B38:B40"/>
  </mergeCells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52"/>
  <sheetViews>
    <sheetView rightToLeft="1" topLeftCell="A28" zoomScaleNormal="100" workbookViewId="0">
      <selection activeCell="E33" sqref="E33"/>
    </sheetView>
  </sheetViews>
  <sheetFormatPr defaultColWidth="8.58203125" defaultRowHeight="14" x14ac:dyDescent="0.3"/>
  <cols>
    <col min="1" max="1" width="25.58203125" style="164" customWidth="1"/>
    <col min="2" max="3" width="20.58203125" style="164" customWidth="1"/>
    <col min="4" max="4" width="15.58203125" style="164" customWidth="1"/>
    <col min="5" max="5" width="77.5" style="164" customWidth="1"/>
    <col min="6" max="16384" width="8.58203125" style="164"/>
  </cols>
  <sheetData>
    <row r="1" spans="1:11" ht="13.75" customHeight="1" thickBot="1" x14ac:dyDescent="0.35"/>
    <row r="2" spans="1:11" ht="35.15" customHeight="1" thickTop="1" thickBot="1" x14ac:dyDescent="0.6">
      <c r="A2" s="230" t="s">
        <v>2</v>
      </c>
      <c r="B2" s="231"/>
      <c r="C2" s="231"/>
      <c r="D2" s="231"/>
      <c r="E2" s="232"/>
      <c r="F2" s="165"/>
      <c r="G2" s="165"/>
      <c r="H2" s="166"/>
      <c r="I2" s="167"/>
    </row>
    <row r="3" spans="1:11" ht="13.75" customHeight="1" thickTop="1" thickBot="1" x14ac:dyDescent="0.4">
      <c r="A3" s="168"/>
      <c r="B3" s="169"/>
      <c r="C3" s="169"/>
      <c r="D3" s="169"/>
      <c r="E3" s="169"/>
      <c r="F3" s="170"/>
      <c r="G3" s="170"/>
      <c r="H3" s="170"/>
      <c r="I3" s="171"/>
    </row>
    <row r="4" spans="1:11" ht="35.15" customHeight="1" thickTop="1" thickBot="1" x14ac:dyDescent="0.4">
      <c r="A4" s="233" t="s">
        <v>275</v>
      </c>
      <c r="B4" s="234"/>
      <c r="C4" s="234"/>
      <c r="D4" s="234"/>
      <c r="E4" s="235"/>
      <c r="F4" s="170"/>
      <c r="G4" s="170"/>
      <c r="H4" s="170"/>
      <c r="I4" s="171"/>
    </row>
    <row r="5" spans="1:11" ht="50.15" customHeight="1" thickTop="1" thickBot="1" x14ac:dyDescent="0.4">
      <c r="A5" s="172" t="s">
        <v>3</v>
      </c>
      <c r="B5" s="173" t="s">
        <v>15</v>
      </c>
      <c r="C5" s="236" t="s">
        <v>13</v>
      </c>
      <c r="D5" s="237"/>
      <c r="E5" s="174" t="s">
        <v>14</v>
      </c>
      <c r="F5" s="170"/>
      <c r="G5" s="170"/>
      <c r="H5" s="170"/>
      <c r="I5" s="171"/>
    </row>
    <row r="6" spans="1:11" ht="30" customHeight="1" thickTop="1" thickBot="1" x14ac:dyDescent="0.4">
      <c r="A6" s="175" t="s">
        <v>42</v>
      </c>
      <c r="B6" s="175" t="s">
        <v>33</v>
      </c>
      <c r="C6" s="238">
        <v>45992</v>
      </c>
      <c r="D6" s="239"/>
      <c r="E6" s="175" t="s">
        <v>2</v>
      </c>
      <c r="F6" s="170"/>
      <c r="G6" s="170"/>
      <c r="H6" s="170"/>
      <c r="I6" s="171"/>
    </row>
    <row r="7" spans="1:11" ht="30" customHeight="1" thickTop="1" thickBot="1" x14ac:dyDescent="0.4">
      <c r="A7" s="175" t="s">
        <v>4</v>
      </c>
      <c r="B7" s="175" t="s">
        <v>5</v>
      </c>
      <c r="C7" s="240"/>
      <c r="D7" s="241"/>
      <c r="E7" s="176" t="s">
        <v>276</v>
      </c>
      <c r="F7" s="170"/>
      <c r="G7" s="170"/>
      <c r="H7" s="170"/>
      <c r="I7" s="171"/>
    </row>
    <row r="8" spans="1:11" ht="13.75" customHeight="1" thickTop="1" x14ac:dyDescent="0.35">
      <c r="A8" s="177"/>
      <c r="B8" s="178"/>
      <c r="C8" s="178"/>
      <c r="D8" s="178"/>
      <c r="E8" s="178"/>
      <c r="F8" s="170"/>
      <c r="G8" s="170"/>
      <c r="H8" s="170"/>
      <c r="I8" s="171"/>
    </row>
    <row r="9" spans="1:11" ht="13.75" customHeight="1" thickBot="1" x14ac:dyDescent="0.4">
      <c r="A9" s="179"/>
      <c r="B9" s="170"/>
      <c r="C9" s="170"/>
      <c r="D9" s="170"/>
      <c r="E9" s="170"/>
      <c r="F9" s="170"/>
      <c r="G9" s="170"/>
      <c r="H9" s="170"/>
      <c r="I9" s="171"/>
    </row>
    <row r="10" spans="1:11" ht="35.15" customHeight="1" x14ac:dyDescent="0.35">
      <c r="A10" s="180" t="s">
        <v>0</v>
      </c>
      <c r="B10" s="181" t="s">
        <v>6</v>
      </c>
      <c r="C10" s="182" t="s">
        <v>9</v>
      </c>
      <c r="D10" s="181" t="s">
        <v>35</v>
      </c>
      <c r="E10" s="183" t="s">
        <v>10</v>
      </c>
      <c r="F10" s="170"/>
      <c r="G10" s="170"/>
      <c r="H10" s="170"/>
      <c r="I10" s="171"/>
      <c r="K10" s="164" t="s">
        <v>51</v>
      </c>
    </row>
    <row r="11" spans="1:11" ht="35.15" customHeight="1" x14ac:dyDescent="0.35">
      <c r="A11" s="184">
        <v>46360</v>
      </c>
      <c r="B11" s="185" t="s">
        <v>40</v>
      </c>
      <c r="C11" s="185">
        <v>2</v>
      </c>
      <c r="D11" s="185" t="s">
        <v>37</v>
      </c>
      <c r="E11" s="215" t="s">
        <v>280</v>
      </c>
      <c r="F11" s="170"/>
      <c r="G11" s="170"/>
      <c r="H11" s="170"/>
      <c r="I11" s="171"/>
    </row>
    <row r="12" spans="1:11" ht="35.15" customHeight="1" x14ac:dyDescent="0.35">
      <c r="A12" s="244">
        <v>46363</v>
      </c>
      <c r="B12" s="245" t="s">
        <v>17</v>
      </c>
      <c r="C12" s="185">
        <v>1</v>
      </c>
      <c r="D12" s="185" t="s">
        <v>36</v>
      </c>
      <c r="E12" s="215" t="s">
        <v>277</v>
      </c>
      <c r="F12" s="170"/>
      <c r="G12" s="170"/>
      <c r="H12" s="170"/>
      <c r="I12" s="171"/>
    </row>
    <row r="13" spans="1:11" ht="35.15" customHeight="1" x14ac:dyDescent="0.35">
      <c r="A13" s="244"/>
      <c r="B13" s="245"/>
      <c r="C13" s="185">
        <v>5</v>
      </c>
      <c r="D13" s="185" t="s">
        <v>36</v>
      </c>
      <c r="E13" s="215" t="s">
        <v>336</v>
      </c>
      <c r="F13" s="170"/>
      <c r="G13" s="170"/>
      <c r="H13" s="170"/>
      <c r="I13" s="171"/>
    </row>
    <row r="14" spans="1:11" ht="35.15" customHeight="1" x14ac:dyDescent="0.35">
      <c r="A14" s="184">
        <v>46365</v>
      </c>
      <c r="B14" s="185" t="s">
        <v>40</v>
      </c>
      <c r="C14" s="185">
        <v>2</v>
      </c>
      <c r="D14" s="185" t="s">
        <v>37</v>
      </c>
      <c r="E14" s="137" t="s">
        <v>290</v>
      </c>
      <c r="F14" s="170"/>
      <c r="G14" s="170"/>
      <c r="H14" s="170"/>
      <c r="I14" s="171"/>
    </row>
    <row r="15" spans="1:11" ht="35.15" customHeight="1" x14ac:dyDescent="0.35">
      <c r="A15" s="224">
        <v>46367</v>
      </c>
      <c r="B15" s="226" t="s">
        <v>8</v>
      </c>
      <c r="C15" s="185">
        <v>3</v>
      </c>
      <c r="D15" s="185" t="s">
        <v>37</v>
      </c>
      <c r="E15" s="215" t="s">
        <v>282</v>
      </c>
      <c r="F15" s="170"/>
      <c r="G15" s="170"/>
      <c r="H15" s="170"/>
      <c r="I15" s="171"/>
    </row>
    <row r="16" spans="1:11" ht="40" customHeight="1" x14ac:dyDescent="0.35">
      <c r="A16" s="225"/>
      <c r="B16" s="227"/>
      <c r="C16" s="185">
        <v>5</v>
      </c>
      <c r="D16" s="185" t="s">
        <v>37</v>
      </c>
      <c r="E16" s="215" t="s">
        <v>335</v>
      </c>
      <c r="F16" s="170"/>
      <c r="G16" s="170"/>
      <c r="H16" s="170"/>
      <c r="I16" s="171"/>
    </row>
    <row r="17" spans="1:9" ht="35.15" customHeight="1" x14ac:dyDescent="0.35">
      <c r="A17" s="244">
        <v>46370</v>
      </c>
      <c r="B17" s="245" t="s">
        <v>17</v>
      </c>
      <c r="C17" s="185">
        <v>4</v>
      </c>
      <c r="D17" s="185" t="s">
        <v>36</v>
      </c>
      <c r="E17" s="215" t="s">
        <v>299</v>
      </c>
      <c r="F17" s="170"/>
      <c r="G17" s="170"/>
      <c r="H17" s="170"/>
      <c r="I17" s="171"/>
    </row>
    <row r="18" spans="1:9" ht="35.15" customHeight="1" x14ac:dyDescent="0.35">
      <c r="A18" s="244"/>
      <c r="B18" s="245"/>
      <c r="C18" s="185">
        <v>1</v>
      </c>
      <c r="D18" s="185" t="s">
        <v>36</v>
      </c>
      <c r="E18" s="215" t="s">
        <v>278</v>
      </c>
      <c r="F18" s="170"/>
      <c r="G18" s="170"/>
      <c r="H18" s="170"/>
      <c r="I18" s="171"/>
    </row>
    <row r="19" spans="1:9" ht="35.15" customHeight="1" x14ac:dyDescent="0.35">
      <c r="A19" s="244"/>
      <c r="B19" s="245"/>
      <c r="C19" s="185">
        <v>3</v>
      </c>
      <c r="D19" s="185" t="s">
        <v>36</v>
      </c>
      <c r="E19" s="215" t="s">
        <v>281</v>
      </c>
      <c r="F19" s="170"/>
      <c r="G19" s="170"/>
      <c r="H19" s="170"/>
      <c r="I19" s="171"/>
    </row>
    <row r="20" spans="1:9" ht="35.15" customHeight="1" x14ac:dyDescent="0.35">
      <c r="A20" s="228">
        <v>46371</v>
      </c>
      <c r="B20" s="229" t="s">
        <v>34</v>
      </c>
      <c r="C20" s="189">
        <v>1</v>
      </c>
      <c r="D20" s="189" t="s">
        <v>37</v>
      </c>
      <c r="E20" s="216" t="s">
        <v>279</v>
      </c>
      <c r="F20" s="170"/>
      <c r="G20" s="170"/>
      <c r="H20" s="170"/>
      <c r="I20" s="171"/>
    </row>
    <row r="21" spans="1:9" ht="35.15" customHeight="1" x14ac:dyDescent="0.35">
      <c r="A21" s="225"/>
      <c r="B21" s="227"/>
      <c r="C21" s="185">
        <v>8</v>
      </c>
      <c r="D21" s="185" t="s">
        <v>37</v>
      </c>
      <c r="E21" s="215" t="s">
        <v>283</v>
      </c>
      <c r="F21" s="170"/>
      <c r="G21" s="170"/>
      <c r="H21" s="170"/>
      <c r="I21" s="171"/>
    </row>
    <row r="22" spans="1:9" ht="35.15" customHeight="1" x14ac:dyDescent="0.35">
      <c r="A22" s="184">
        <v>46374</v>
      </c>
      <c r="B22" s="185" t="s">
        <v>8</v>
      </c>
      <c r="C22" s="185">
        <v>1</v>
      </c>
      <c r="D22" s="185" t="s">
        <v>37</v>
      </c>
      <c r="E22" s="215" t="s">
        <v>284</v>
      </c>
      <c r="F22" s="170"/>
      <c r="G22" s="170"/>
      <c r="H22" s="170"/>
      <c r="I22" s="171"/>
    </row>
    <row r="23" spans="1:9" ht="35.15" customHeight="1" x14ac:dyDescent="0.35">
      <c r="A23" s="228">
        <v>46378</v>
      </c>
      <c r="B23" s="229" t="s">
        <v>17</v>
      </c>
      <c r="C23" s="189">
        <v>2</v>
      </c>
      <c r="D23" s="189" t="s">
        <v>36</v>
      </c>
      <c r="E23" s="216" t="s">
        <v>287</v>
      </c>
      <c r="F23" s="170"/>
      <c r="G23" s="170"/>
      <c r="H23" s="170"/>
      <c r="I23" s="171"/>
    </row>
    <row r="24" spans="1:9" ht="35.15" customHeight="1" x14ac:dyDescent="0.35">
      <c r="A24" s="228"/>
      <c r="B24" s="229"/>
      <c r="C24" s="185">
        <v>1</v>
      </c>
      <c r="D24" s="185" t="s">
        <v>36</v>
      </c>
      <c r="E24" s="215" t="s">
        <v>286</v>
      </c>
      <c r="F24" s="170"/>
      <c r="G24" s="170"/>
      <c r="H24" s="170"/>
      <c r="I24" s="171"/>
    </row>
    <row r="25" spans="1:9" ht="40" customHeight="1" x14ac:dyDescent="0.35">
      <c r="A25" s="225"/>
      <c r="B25" s="227"/>
      <c r="C25" s="185">
        <v>3</v>
      </c>
      <c r="D25" s="185" t="s">
        <v>36</v>
      </c>
      <c r="E25" s="215" t="s">
        <v>291</v>
      </c>
      <c r="F25" s="170"/>
      <c r="G25" s="170"/>
      <c r="H25" s="170"/>
      <c r="I25" s="171"/>
    </row>
    <row r="26" spans="1:9" ht="40" customHeight="1" x14ac:dyDescent="0.35">
      <c r="A26" s="228">
        <v>46379</v>
      </c>
      <c r="B26" s="229" t="s">
        <v>40</v>
      </c>
      <c r="C26" s="189">
        <v>6</v>
      </c>
      <c r="D26" s="189" t="s">
        <v>37</v>
      </c>
      <c r="E26" s="217" t="s">
        <v>285</v>
      </c>
      <c r="F26" s="170"/>
      <c r="G26" s="170"/>
      <c r="H26" s="170"/>
      <c r="I26" s="171"/>
    </row>
    <row r="27" spans="1:9" ht="40" customHeight="1" x14ac:dyDescent="0.35">
      <c r="A27" s="225"/>
      <c r="B27" s="227"/>
      <c r="C27" s="185">
        <v>3</v>
      </c>
      <c r="D27" s="185" t="s">
        <v>37</v>
      </c>
      <c r="E27" s="137" t="s">
        <v>288</v>
      </c>
      <c r="F27" s="170"/>
      <c r="G27" s="170"/>
      <c r="H27" s="170"/>
      <c r="I27" s="171"/>
    </row>
    <row r="28" spans="1:9" ht="40" customHeight="1" x14ac:dyDescent="0.35">
      <c r="A28" s="224">
        <v>46381</v>
      </c>
      <c r="B28" s="226" t="s">
        <v>8</v>
      </c>
      <c r="C28" s="185">
        <v>3</v>
      </c>
      <c r="D28" s="185" t="s">
        <v>37</v>
      </c>
      <c r="E28" s="137" t="s">
        <v>293</v>
      </c>
      <c r="F28" s="170"/>
      <c r="G28" s="170"/>
      <c r="H28" s="170"/>
      <c r="I28" s="171"/>
    </row>
    <row r="29" spans="1:9" ht="35.15" customHeight="1" x14ac:dyDescent="0.35">
      <c r="A29" s="225"/>
      <c r="B29" s="227"/>
      <c r="C29" s="185">
        <v>3</v>
      </c>
      <c r="D29" s="185" t="s">
        <v>37</v>
      </c>
      <c r="E29" s="137" t="s">
        <v>292</v>
      </c>
      <c r="F29" s="170"/>
      <c r="G29" s="170"/>
      <c r="H29" s="170"/>
      <c r="I29" s="171"/>
    </row>
    <row r="30" spans="1:9" ht="35.15" customHeight="1" x14ac:dyDescent="0.35">
      <c r="A30" s="244">
        <v>46384</v>
      </c>
      <c r="B30" s="245" t="s">
        <v>17</v>
      </c>
      <c r="C30" s="185">
        <v>3</v>
      </c>
      <c r="D30" s="185" t="s">
        <v>36</v>
      </c>
      <c r="E30" s="186" t="s">
        <v>289</v>
      </c>
      <c r="F30" s="170"/>
      <c r="G30" s="170"/>
      <c r="H30" s="170"/>
      <c r="I30" s="171"/>
    </row>
    <row r="31" spans="1:9" ht="35.15" customHeight="1" x14ac:dyDescent="0.35">
      <c r="A31" s="244"/>
      <c r="B31" s="245"/>
      <c r="C31" s="185">
        <v>4</v>
      </c>
      <c r="D31" s="185" t="s">
        <v>36</v>
      </c>
      <c r="E31" s="137" t="s">
        <v>294</v>
      </c>
      <c r="F31" s="170"/>
      <c r="G31" s="170"/>
      <c r="H31" s="170"/>
      <c r="I31" s="171"/>
    </row>
    <row r="32" spans="1:9" ht="35.15" customHeight="1" x14ac:dyDescent="0.35">
      <c r="A32" s="218">
        <v>46385</v>
      </c>
      <c r="B32" s="189" t="s">
        <v>34</v>
      </c>
      <c r="C32" s="185">
        <v>3</v>
      </c>
      <c r="D32" s="185" t="s">
        <v>37</v>
      </c>
      <c r="E32" s="215" t="s">
        <v>295</v>
      </c>
      <c r="F32" s="170"/>
      <c r="G32" s="170"/>
      <c r="H32" s="170"/>
      <c r="I32" s="171"/>
    </row>
    <row r="33" spans="1:9" ht="35.15" customHeight="1" x14ac:dyDescent="0.35">
      <c r="A33" s="224">
        <v>46386</v>
      </c>
      <c r="B33" s="226" t="s">
        <v>40</v>
      </c>
      <c r="C33" s="185">
        <v>3</v>
      </c>
      <c r="D33" s="185" t="s">
        <v>37</v>
      </c>
      <c r="E33" s="137" t="s">
        <v>300</v>
      </c>
      <c r="F33" s="170"/>
      <c r="G33" s="170"/>
      <c r="H33" s="170"/>
      <c r="I33" s="171"/>
    </row>
    <row r="34" spans="1:9" ht="35.15" customHeight="1" x14ac:dyDescent="0.35">
      <c r="A34" s="225"/>
      <c r="B34" s="227"/>
      <c r="C34" s="185">
        <v>2</v>
      </c>
      <c r="D34" s="185" t="s">
        <v>37</v>
      </c>
      <c r="E34" s="215" t="s">
        <v>296</v>
      </c>
      <c r="F34" s="170"/>
      <c r="G34" s="170"/>
      <c r="H34" s="170"/>
      <c r="I34" s="171"/>
    </row>
    <row r="35" spans="1:9" ht="35.15" customHeight="1" thickBot="1" x14ac:dyDescent="0.55000000000000004">
      <c r="A35" s="250" t="s">
        <v>1</v>
      </c>
      <c r="B35" s="251"/>
      <c r="C35" s="190">
        <f>SUM(C11:C34)</f>
        <v>72</v>
      </c>
      <c r="D35" s="190">
        <f>+'נובמבר 2025  '!E43</f>
        <v>975</v>
      </c>
      <c r="E35" s="191">
        <f>D35-C35</f>
        <v>903</v>
      </c>
      <c r="F35" s="170"/>
      <c r="G35" s="170"/>
      <c r="H35" s="170"/>
      <c r="I35" s="171"/>
    </row>
    <row r="36" spans="1:9" ht="13.75" customHeight="1" thickTop="1" x14ac:dyDescent="0.35">
      <c r="A36" s="179"/>
      <c r="B36" s="170"/>
      <c r="C36" s="170"/>
      <c r="D36" s="170"/>
      <c r="E36" s="170"/>
      <c r="F36" s="170"/>
      <c r="G36" s="170"/>
      <c r="H36" s="170"/>
      <c r="I36" s="171"/>
    </row>
    <row r="37" spans="1:9" ht="13.75" customHeight="1" thickBot="1" x14ac:dyDescent="0.4">
      <c r="A37" s="179"/>
      <c r="B37" s="170"/>
      <c r="C37" s="170"/>
      <c r="D37" s="170"/>
      <c r="E37" s="170"/>
      <c r="F37" s="170"/>
      <c r="G37" s="170"/>
      <c r="H37" s="170"/>
      <c r="I37" s="171"/>
    </row>
    <row r="38" spans="1:9" ht="30" customHeight="1" thickTop="1" x14ac:dyDescent="0.4">
      <c r="A38" s="252" t="s">
        <v>18</v>
      </c>
      <c r="B38" s="253"/>
      <c r="C38" s="192"/>
      <c r="D38" s="193">
        <v>72</v>
      </c>
      <c r="F38" s="195"/>
      <c r="G38" s="178"/>
      <c r="H38" s="178"/>
      <c r="I38" s="196"/>
    </row>
    <row r="39" spans="1:9" ht="30" customHeight="1" x14ac:dyDescent="0.4">
      <c r="A39" s="254" t="s">
        <v>19</v>
      </c>
      <c r="B39" s="255"/>
      <c r="C39" s="197"/>
      <c r="D39" s="198"/>
      <c r="E39" s="199"/>
      <c r="F39" s="200"/>
      <c r="G39" s="178"/>
      <c r="H39" s="178"/>
      <c r="I39" s="196"/>
    </row>
    <row r="40" spans="1:9" ht="30" customHeight="1" x14ac:dyDescent="0.4">
      <c r="A40" s="254" t="s">
        <v>20</v>
      </c>
      <c r="B40" s="255"/>
      <c r="C40" s="197"/>
      <c r="D40" s="198"/>
      <c r="E40" s="199"/>
      <c r="F40" s="200"/>
      <c r="G40" s="178"/>
      <c r="H40" s="178"/>
      <c r="I40" s="196"/>
    </row>
    <row r="41" spans="1:9" ht="30" customHeight="1" thickBot="1" x14ac:dyDescent="0.45">
      <c r="A41" s="256" t="s">
        <v>21</v>
      </c>
      <c r="B41" s="257"/>
      <c r="C41" s="201"/>
      <c r="D41" s="202"/>
      <c r="E41" s="199"/>
      <c r="F41" s="200"/>
      <c r="G41" s="178"/>
      <c r="H41" s="178"/>
      <c r="I41" s="196"/>
    </row>
    <row r="42" spans="1:9" ht="30" customHeight="1" thickTop="1" thickBot="1" x14ac:dyDescent="0.45">
      <c r="A42" s="258" t="s">
        <v>20</v>
      </c>
      <c r="B42" s="259"/>
      <c r="C42" s="203"/>
      <c r="D42" s="204">
        <f>D41+D40</f>
        <v>0</v>
      </c>
      <c r="E42" s="199"/>
      <c r="F42" s="195"/>
      <c r="G42" s="178"/>
      <c r="H42" s="178"/>
      <c r="I42" s="196"/>
    </row>
    <row r="43" spans="1:9" ht="13.75" customHeight="1" thickTop="1" thickBot="1" x14ac:dyDescent="0.5">
      <c r="A43" s="205"/>
      <c r="B43" s="206"/>
      <c r="C43" s="206"/>
      <c r="D43" s="206"/>
      <c r="E43" s="206"/>
      <c r="F43" s="206"/>
      <c r="G43" s="206"/>
      <c r="H43" s="206"/>
      <c r="I43" s="207"/>
    </row>
    <row r="44" spans="1:9" ht="25" customHeight="1" thickTop="1" thickBot="1" x14ac:dyDescent="0.45">
      <c r="A44" s="260" t="s">
        <v>22</v>
      </c>
      <c r="B44" s="261"/>
      <c r="C44" s="261"/>
      <c r="D44" s="261"/>
      <c r="E44" s="261"/>
      <c r="F44" s="261"/>
      <c r="G44" s="261"/>
      <c r="H44" s="261"/>
      <c r="I44" s="262"/>
    </row>
    <row r="45" spans="1:9" ht="25" customHeight="1" thickTop="1" thickBot="1" x14ac:dyDescent="0.65">
      <c r="A45" s="246" t="s">
        <v>23</v>
      </c>
      <c r="B45" s="247"/>
      <c r="C45" s="208"/>
      <c r="D45" s="209"/>
      <c r="E45" s="210"/>
      <c r="F45" s="211"/>
      <c r="G45" s="194" t="s">
        <v>24</v>
      </c>
      <c r="H45" s="248">
        <v>46022</v>
      </c>
      <c r="I45" s="249"/>
    </row>
    <row r="46" spans="1:9" ht="25" customHeight="1" thickTop="1" thickBot="1" x14ac:dyDescent="0.65">
      <c r="A46" s="263" t="s">
        <v>25</v>
      </c>
      <c r="B46" s="264"/>
      <c r="C46" s="195"/>
      <c r="D46" s="269" t="s">
        <v>26</v>
      </c>
      <c r="E46" s="269"/>
      <c r="F46" s="269"/>
      <c r="G46" s="269"/>
      <c r="H46" s="269"/>
      <c r="I46" s="196"/>
    </row>
    <row r="47" spans="1:9" ht="25" customHeight="1" thickTop="1" x14ac:dyDescent="0.4">
      <c r="A47" s="270" t="s">
        <v>27</v>
      </c>
      <c r="B47" s="271"/>
      <c r="C47" s="271"/>
      <c r="D47" s="271"/>
      <c r="E47" s="271"/>
      <c r="F47" s="211"/>
      <c r="G47" s="271" t="s">
        <v>28</v>
      </c>
      <c r="H47" s="271"/>
      <c r="I47" s="272"/>
    </row>
    <row r="48" spans="1:9" ht="25" customHeight="1" thickBot="1" x14ac:dyDescent="0.45">
      <c r="A48" s="270" t="s">
        <v>29</v>
      </c>
      <c r="B48" s="271"/>
      <c r="C48" s="271"/>
      <c r="D48" s="271"/>
      <c r="E48" s="194" t="s">
        <v>30</v>
      </c>
      <c r="F48" s="194"/>
      <c r="G48" s="273"/>
      <c r="H48" s="273"/>
      <c r="I48" s="212"/>
    </row>
    <row r="49" spans="1:9" ht="25" customHeight="1" thickTop="1" thickBot="1" x14ac:dyDescent="0.45">
      <c r="A49" s="263" t="s">
        <v>30</v>
      </c>
      <c r="B49" s="264"/>
      <c r="C49" s="195"/>
      <c r="D49" s="213"/>
      <c r="E49" s="194" t="s">
        <v>31</v>
      </c>
      <c r="F49" s="194"/>
      <c r="G49" s="265"/>
      <c r="H49" s="265"/>
      <c r="I49" s="196"/>
    </row>
    <row r="50" spans="1:9" ht="25" customHeight="1" thickTop="1" thickBot="1" x14ac:dyDescent="0.45">
      <c r="A50" s="263" t="s">
        <v>23</v>
      </c>
      <c r="B50" s="264"/>
      <c r="C50" s="195"/>
      <c r="D50" s="213"/>
      <c r="E50" s="194" t="s">
        <v>23</v>
      </c>
      <c r="F50" s="194"/>
      <c r="G50" s="213"/>
      <c r="H50" s="194" t="s">
        <v>0</v>
      </c>
      <c r="I50" s="214"/>
    </row>
    <row r="51" spans="1:9" ht="25" customHeight="1" thickTop="1" thickBot="1" x14ac:dyDescent="0.45">
      <c r="A51" s="266" t="s">
        <v>52</v>
      </c>
      <c r="B51" s="267"/>
      <c r="C51" s="267"/>
      <c r="D51" s="267"/>
      <c r="E51" s="267"/>
      <c r="F51" s="267"/>
      <c r="G51" s="267"/>
      <c r="H51" s="267"/>
      <c r="I51" s="268"/>
    </row>
    <row r="52" spans="1:9" ht="14.5" customHeight="1" thickTop="1" x14ac:dyDescent="0.35">
      <c r="A52" s="170"/>
      <c r="B52" s="170"/>
      <c r="C52" s="170"/>
      <c r="D52" s="170"/>
      <c r="E52" s="170"/>
      <c r="F52" s="170"/>
      <c r="G52" s="170"/>
      <c r="H52" s="170"/>
      <c r="I52" s="170"/>
    </row>
  </sheetData>
  <mergeCells count="41">
    <mergeCell ref="A51:I51"/>
    <mergeCell ref="A44:I44"/>
    <mergeCell ref="A45:B45"/>
    <mergeCell ref="H45:I45"/>
    <mergeCell ref="A46:B46"/>
    <mergeCell ref="D46:H46"/>
    <mergeCell ref="A47:E47"/>
    <mergeCell ref="G47:I47"/>
    <mergeCell ref="A48:D48"/>
    <mergeCell ref="G48:H48"/>
    <mergeCell ref="A49:B49"/>
    <mergeCell ref="G49:H49"/>
    <mergeCell ref="A50:B50"/>
    <mergeCell ref="A42:B42"/>
    <mergeCell ref="A35:B35"/>
    <mergeCell ref="A38:B38"/>
    <mergeCell ref="A39:B39"/>
    <mergeCell ref="A40:B40"/>
    <mergeCell ref="A41:B41"/>
    <mergeCell ref="A2:E2"/>
    <mergeCell ref="A4:E4"/>
    <mergeCell ref="C5:D5"/>
    <mergeCell ref="C6:D7"/>
    <mergeCell ref="A26:A27"/>
    <mergeCell ref="B26:B27"/>
    <mergeCell ref="A15:A16"/>
    <mergeCell ref="B15:B16"/>
    <mergeCell ref="A12:A13"/>
    <mergeCell ref="B12:B13"/>
    <mergeCell ref="A17:A19"/>
    <mergeCell ref="B17:B19"/>
    <mergeCell ref="A23:A25"/>
    <mergeCell ref="B23:B25"/>
    <mergeCell ref="A33:A34"/>
    <mergeCell ref="B33:B34"/>
    <mergeCell ref="A20:A21"/>
    <mergeCell ref="B20:B21"/>
    <mergeCell ref="A30:A31"/>
    <mergeCell ref="B30:B31"/>
    <mergeCell ref="A28:A29"/>
    <mergeCell ref="B28:B29"/>
  </mergeCells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2"/>
  <sheetViews>
    <sheetView rightToLeft="1" topLeftCell="A10" zoomScaleNormal="100" workbookViewId="0">
      <selection activeCell="E39" sqref="E39"/>
    </sheetView>
  </sheetViews>
  <sheetFormatPr defaultColWidth="8.58203125" defaultRowHeight="14" x14ac:dyDescent="0.3"/>
  <cols>
    <col min="1" max="1" width="25.58203125" style="164" customWidth="1"/>
    <col min="2" max="3" width="20.58203125" style="164" customWidth="1"/>
    <col min="4" max="4" width="15.58203125" style="164" customWidth="1"/>
    <col min="5" max="5" width="77.5" style="164" customWidth="1"/>
    <col min="6" max="16384" width="8.58203125" style="164"/>
  </cols>
  <sheetData>
    <row r="1" spans="1:11" ht="13.75" customHeight="1" thickBot="1" x14ac:dyDescent="0.35"/>
    <row r="2" spans="1:11" ht="35.15" customHeight="1" thickTop="1" thickBot="1" x14ac:dyDescent="0.6">
      <c r="A2" s="230" t="s">
        <v>2</v>
      </c>
      <c r="B2" s="231"/>
      <c r="C2" s="231"/>
      <c r="D2" s="231"/>
      <c r="E2" s="232"/>
      <c r="F2" s="165"/>
      <c r="G2" s="165"/>
      <c r="H2" s="166"/>
      <c r="I2" s="167"/>
    </row>
    <row r="3" spans="1:11" ht="13.75" customHeight="1" thickTop="1" thickBot="1" x14ac:dyDescent="0.4">
      <c r="A3" s="168"/>
      <c r="B3" s="169"/>
      <c r="C3" s="169"/>
      <c r="D3" s="169"/>
      <c r="E3" s="169"/>
      <c r="F3" s="170"/>
      <c r="G3" s="170"/>
      <c r="H3" s="170"/>
      <c r="I3" s="171"/>
    </row>
    <row r="4" spans="1:11" ht="35.15" customHeight="1" thickTop="1" thickBot="1" x14ac:dyDescent="0.4">
      <c r="A4" s="233" t="s">
        <v>297</v>
      </c>
      <c r="B4" s="234"/>
      <c r="C4" s="234"/>
      <c r="D4" s="234"/>
      <c r="E4" s="235"/>
      <c r="F4" s="170"/>
      <c r="G4" s="170"/>
      <c r="H4" s="170"/>
      <c r="I4" s="171"/>
    </row>
    <row r="5" spans="1:11" ht="50.15" customHeight="1" thickTop="1" thickBot="1" x14ac:dyDescent="0.4">
      <c r="A5" s="172" t="s">
        <v>3</v>
      </c>
      <c r="B5" s="173" t="s">
        <v>15</v>
      </c>
      <c r="C5" s="236" t="s">
        <v>13</v>
      </c>
      <c r="D5" s="237"/>
      <c r="E5" s="174" t="s">
        <v>14</v>
      </c>
      <c r="F5" s="170"/>
      <c r="G5" s="170"/>
      <c r="H5" s="170"/>
      <c r="I5" s="171"/>
    </row>
    <row r="6" spans="1:11" ht="30" customHeight="1" thickTop="1" thickBot="1" x14ac:dyDescent="0.4">
      <c r="A6" s="175" t="s">
        <v>42</v>
      </c>
      <c r="B6" s="175" t="s">
        <v>33</v>
      </c>
      <c r="C6" s="238">
        <v>46023</v>
      </c>
      <c r="D6" s="239"/>
      <c r="E6" s="175" t="s">
        <v>2</v>
      </c>
      <c r="F6" s="170"/>
      <c r="G6" s="170"/>
      <c r="H6" s="170"/>
      <c r="I6" s="171"/>
    </row>
    <row r="7" spans="1:11" ht="30" customHeight="1" thickTop="1" thickBot="1" x14ac:dyDescent="0.4">
      <c r="A7" s="175" t="s">
        <v>4</v>
      </c>
      <c r="B7" s="175" t="s">
        <v>5</v>
      </c>
      <c r="C7" s="240"/>
      <c r="D7" s="241"/>
      <c r="E7" s="176" t="s">
        <v>298</v>
      </c>
      <c r="F7" s="170"/>
      <c r="G7" s="170"/>
      <c r="H7" s="170"/>
      <c r="I7" s="171"/>
    </row>
    <row r="8" spans="1:11" ht="13.75" customHeight="1" thickTop="1" x14ac:dyDescent="0.35">
      <c r="A8" s="177"/>
      <c r="B8" s="178"/>
      <c r="C8" s="178"/>
      <c r="D8" s="178"/>
      <c r="E8" s="178"/>
      <c r="F8" s="170"/>
      <c r="G8" s="170"/>
      <c r="H8" s="170"/>
      <c r="I8" s="171"/>
    </row>
    <row r="9" spans="1:11" ht="13.75" customHeight="1" thickBot="1" x14ac:dyDescent="0.4">
      <c r="A9" s="179"/>
      <c r="B9" s="170"/>
      <c r="C9" s="170"/>
      <c r="D9" s="170"/>
      <c r="E9" s="170"/>
      <c r="F9" s="170"/>
      <c r="G9" s="170"/>
      <c r="H9" s="170"/>
      <c r="I9" s="171"/>
    </row>
    <row r="10" spans="1:11" ht="35.15" customHeight="1" thickTop="1" thickBot="1" x14ac:dyDescent="0.4">
      <c r="A10" s="219" t="s">
        <v>0</v>
      </c>
      <c r="B10" s="220" t="s">
        <v>6</v>
      </c>
      <c r="C10" s="221" t="s">
        <v>9</v>
      </c>
      <c r="D10" s="220" t="s">
        <v>35</v>
      </c>
      <c r="E10" s="222" t="s">
        <v>10</v>
      </c>
      <c r="F10" s="170"/>
      <c r="G10" s="170"/>
      <c r="H10" s="170"/>
      <c r="I10" s="171"/>
      <c r="K10" s="164" t="s">
        <v>51</v>
      </c>
    </row>
    <row r="11" spans="1:11" ht="35.15" customHeight="1" thickTop="1" x14ac:dyDescent="0.35">
      <c r="A11" s="242">
        <v>46023</v>
      </c>
      <c r="B11" s="243" t="s">
        <v>8</v>
      </c>
      <c r="C11" s="189">
        <v>2</v>
      </c>
      <c r="D11" s="189" t="s">
        <v>37</v>
      </c>
      <c r="E11" s="216" t="s">
        <v>301</v>
      </c>
      <c r="F11" s="170"/>
      <c r="G11" s="170"/>
      <c r="H11" s="170"/>
      <c r="I11" s="171"/>
    </row>
    <row r="12" spans="1:11" ht="35.15" customHeight="1" x14ac:dyDescent="0.35">
      <c r="A12" s="225"/>
      <c r="B12" s="227"/>
      <c r="C12" s="185">
        <v>1</v>
      </c>
      <c r="D12" s="185" t="s">
        <v>37</v>
      </c>
      <c r="E12" s="215" t="s">
        <v>322</v>
      </c>
      <c r="F12" s="170"/>
      <c r="G12" s="170"/>
      <c r="H12" s="170"/>
      <c r="I12" s="171"/>
    </row>
    <row r="13" spans="1:11" ht="35.15" customHeight="1" x14ac:dyDescent="0.35">
      <c r="A13" s="244">
        <v>46026</v>
      </c>
      <c r="B13" s="245" t="s">
        <v>17</v>
      </c>
      <c r="C13" s="185">
        <v>3</v>
      </c>
      <c r="D13" s="185" t="s">
        <v>36</v>
      </c>
      <c r="E13" s="215" t="s">
        <v>302</v>
      </c>
      <c r="F13" s="170"/>
      <c r="G13" s="170"/>
      <c r="H13" s="170"/>
      <c r="I13" s="171"/>
    </row>
    <row r="14" spans="1:11" ht="35.15" customHeight="1" x14ac:dyDescent="0.35">
      <c r="A14" s="244"/>
      <c r="B14" s="245"/>
      <c r="C14" s="185">
        <v>2</v>
      </c>
      <c r="D14" s="185" t="s">
        <v>36</v>
      </c>
      <c r="E14" s="137" t="s">
        <v>323</v>
      </c>
      <c r="F14" s="170"/>
      <c r="G14" s="170"/>
      <c r="H14" s="170"/>
      <c r="I14" s="171"/>
    </row>
    <row r="15" spans="1:11" ht="35.15" customHeight="1" x14ac:dyDescent="0.35">
      <c r="A15" s="224">
        <v>46027</v>
      </c>
      <c r="B15" s="226" t="s">
        <v>34</v>
      </c>
      <c r="C15" s="185">
        <v>2</v>
      </c>
      <c r="D15" s="185" t="s">
        <v>37</v>
      </c>
      <c r="E15" s="137" t="s">
        <v>303</v>
      </c>
      <c r="F15" s="170"/>
      <c r="G15" s="170"/>
      <c r="H15" s="170"/>
      <c r="I15" s="171"/>
    </row>
    <row r="16" spans="1:11" ht="35.15" customHeight="1" x14ac:dyDescent="0.35">
      <c r="A16" s="228"/>
      <c r="B16" s="229"/>
      <c r="C16" s="185">
        <v>3</v>
      </c>
      <c r="D16" s="185" t="s">
        <v>37</v>
      </c>
      <c r="E16" s="215" t="s">
        <v>325</v>
      </c>
      <c r="F16" s="170"/>
      <c r="G16" s="170"/>
      <c r="H16" s="170"/>
      <c r="I16" s="171"/>
    </row>
    <row r="17" spans="1:9" ht="35.15" customHeight="1" x14ac:dyDescent="0.35">
      <c r="A17" s="225"/>
      <c r="B17" s="227"/>
      <c r="C17" s="185">
        <v>2</v>
      </c>
      <c r="D17" s="185" t="s">
        <v>37</v>
      </c>
      <c r="E17" s="137" t="s">
        <v>304</v>
      </c>
      <c r="F17" s="170"/>
      <c r="G17" s="170"/>
      <c r="H17" s="170"/>
      <c r="I17" s="171"/>
    </row>
    <row r="18" spans="1:9" ht="35.15" customHeight="1" x14ac:dyDescent="0.35">
      <c r="A18" s="187">
        <v>46029</v>
      </c>
      <c r="B18" s="188" t="s">
        <v>7</v>
      </c>
      <c r="C18" s="185">
        <v>3</v>
      </c>
      <c r="D18" s="185" t="s">
        <v>37</v>
      </c>
      <c r="E18" s="215" t="s">
        <v>305</v>
      </c>
      <c r="F18" s="170"/>
      <c r="G18" s="170"/>
      <c r="H18" s="170"/>
      <c r="I18" s="171"/>
    </row>
    <row r="19" spans="1:9" ht="35.15" customHeight="1" x14ac:dyDescent="0.35">
      <c r="A19" s="187">
        <v>46030</v>
      </c>
      <c r="B19" s="188" t="s">
        <v>8</v>
      </c>
      <c r="C19" s="185">
        <v>3</v>
      </c>
      <c r="D19" s="185" t="s">
        <v>37</v>
      </c>
      <c r="E19" s="137" t="s">
        <v>307</v>
      </c>
      <c r="F19" s="170"/>
      <c r="G19" s="170"/>
      <c r="H19" s="170"/>
      <c r="I19" s="171"/>
    </row>
    <row r="20" spans="1:9" ht="35.15" customHeight="1" x14ac:dyDescent="0.35">
      <c r="A20" s="244">
        <v>46033</v>
      </c>
      <c r="B20" s="245" t="s">
        <v>17</v>
      </c>
      <c r="C20" s="185">
        <v>2</v>
      </c>
      <c r="D20" s="185" t="s">
        <v>36</v>
      </c>
      <c r="E20" s="137" t="s">
        <v>306</v>
      </c>
      <c r="F20" s="170"/>
      <c r="G20" s="170"/>
      <c r="H20" s="170"/>
      <c r="I20" s="171"/>
    </row>
    <row r="21" spans="1:9" ht="35.15" customHeight="1" x14ac:dyDescent="0.35">
      <c r="A21" s="244"/>
      <c r="B21" s="245"/>
      <c r="C21" s="185">
        <v>3</v>
      </c>
      <c r="D21" s="185" t="s">
        <v>36</v>
      </c>
      <c r="E21" s="215" t="s">
        <v>308</v>
      </c>
      <c r="F21" s="170"/>
      <c r="G21" s="170"/>
      <c r="H21" s="170"/>
      <c r="I21" s="171"/>
    </row>
    <row r="22" spans="1:9" ht="35.15" customHeight="1" x14ac:dyDescent="0.35">
      <c r="A22" s="244"/>
      <c r="B22" s="245"/>
      <c r="C22" s="185">
        <v>2</v>
      </c>
      <c r="D22" s="185" t="s">
        <v>36</v>
      </c>
      <c r="E22" s="215" t="s">
        <v>324</v>
      </c>
      <c r="F22" s="170"/>
      <c r="G22" s="170"/>
      <c r="H22" s="170"/>
      <c r="I22" s="171"/>
    </row>
    <row r="23" spans="1:9" ht="35.15" customHeight="1" x14ac:dyDescent="0.35">
      <c r="A23" s="224">
        <v>46035</v>
      </c>
      <c r="B23" s="226" t="s">
        <v>40</v>
      </c>
      <c r="C23" s="185">
        <v>3</v>
      </c>
      <c r="D23" s="189" t="s">
        <v>37</v>
      </c>
      <c r="E23" s="215" t="s">
        <v>309</v>
      </c>
      <c r="F23" s="170"/>
      <c r="G23" s="170"/>
      <c r="H23" s="170"/>
      <c r="I23" s="171"/>
    </row>
    <row r="24" spans="1:9" ht="35.15" customHeight="1" x14ac:dyDescent="0.35">
      <c r="A24" s="228"/>
      <c r="B24" s="229"/>
      <c r="C24" s="189">
        <v>3</v>
      </c>
      <c r="D24" s="189" t="s">
        <v>37</v>
      </c>
      <c r="E24" s="215" t="s">
        <v>312</v>
      </c>
      <c r="F24" s="170"/>
      <c r="G24" s="170"/>
      <c r="H24" s="170"/>
      <c r="I24" s="171"/>
    </row>
    <row r="25" spans="1:9" ht="35.15" customHeight="1" x14ac:dyDescent="0.35">
      <c r="A25" s="225"/>
      <c r="B25" s="227"/>
      <c r="C25" s="189">
        <v>4</v>
      </c>
      <c r="D25" s="189" t="s">
        <v>37</v>
      </c>
      <c r="E25" s="215" t="s">
        <v>330</v>
      </c>
      <c r="F25" s="170"/>
      <c r="G25" s="170"/>
      <c r="H25" s="170"/>
      <c r="I25" s="171"/>
    </row>
    <row r="26" spans="1:9" ht="35.15" customHeight="1" x14ac:dyDescent="0.35">
      <c r="A26" s="184">
        <v>46036</v>
      </c>
      <c r="B26" s="185" t="s">
        <v>7</v>
      </c>
      <c r="C26" s="185">
        <v>2</v>
      </c>
      <c r="D26" s="185" t="s">
        <v>37</v>
      </c>
      <c r="E26" s="215" t="s">
        <v>310</v>
      </c>
      <c r="F26" s="170"/>
      <c r="G26" s="170"/>
      <c r="H26" s="170"/>
      <c r="I26" s="171"/>
    </row>
    <row r="27" spans="1:9" ht="35.15" customHeight="1" x14ac:dyDescent="0.35">
      <c r="A27" s="184">
        <v>46037</v>
      </c>
      <c r="B27" s="185" t="s">
        <v>8</v>
      </c>
      <c r="C27" s="185">
        <v>4</v>
      </c>
      <c r="D27" s="185" t="s">
        <v>37</v>
      </c>
      <c r="E27" s="215" t="s">
        <v>331</v>
      </c>
      <c r="F27" s="170"/>
      <c r="G27" s="170"/>
      <c r="H27" s="170"/>
      <c r="I27" s="171"/>
    </row>
    <row r="28" spans="1:9" ht="40" customHeight="1" x14ac:dyDescent="0.35">
      <c r="A28" s="228">
        <v>46040</v>
      </c>
      <c r="B28" s="229" t="s">
        <v>17</v>
      </c>
      <c r="C28" s="189">
        <v>2</v>
      </c>
      <c r="D28" s="189" t="s">
        <v>36</v>
      </c>
      <c r="E28" s="159" t="s">
        <v>311</v>
      </c>
      <c r="F28" s="170"/>
      <c r="G28" s="170"/>
      <c r="H28" s="170"/>
      <c r="I28" s="171"/>
    </row>
    <row r="29" spans="1:9" ht="40" customHeight="1" x14ac:dyDescent="0.35">
      <c r="A29" s="228"/>
      <c r="B29" s="229"/>
      <c r="C29" s="185">
        <v>1</v>
      </c>
      <c r="D29" s="185" t="s">
        <v>36</v>
      </c>
      <c r="E29" s="137" t="s">
        <v>313</v>
      </c>
      <c r="F29" s="170"/>
      <c r="G29" s="170"/>
      <c r="H29" s="170"/>
      <c r="I29" s="171"/>
    </row>
    <row r="30" spans="1:9" ht="40" customHeight="1" x14ac:dyDescent="0.35">
      <c r="A30" s="228"/>
      <c r="B30" s="229"/>
      <c r="C30" s="185">
        <v>3</v>
      </c>
      <c r="D30" s="185" t="s">
        <v>36</v>
      </c>
      <c r="E30" s="215" t="s">
        <v>326</v>
      </c>
      <c r="F30" s="170"/>
      <c r="G30" s="170"/>
      <c r="H30" s="170"/>
      <c r="I30" s="171"/>
    </row>
    <row r="31" spans="1:9" ht="40" customHeight="1" x14ac:dyDescent="0.35">
      <c r="A31" s="225"/>
      <c r="B31" s="227"/>
      <c r="C31" s="185">
        <v>2</v>
      </c>
      <c r="D31" s="185" t="s">
        <v>36</v>
      </c>
      <c r="E31" s="137" t="s">
        <v>314</v>
      </c>
      <c r="F31" s="170"/>
      <c r="G31" s="170"/>
      <c r="H31" s="170"/>
      <c r="I31" s="171"/>
    </row>
    <row r="32" spans="1:9" ht="40" customHeight="1" x14ac:dyDescent="0.35">
      <c r="A32" s="224">
        <v>46041</v>
      </c>
      <c r="B32" s="226" t="s">
        <v>34</v>
      </c>
      <c r="C32" s="185">
        <v>4</v>
      </c>
      <c r="D32" s="185" t="s">
        <v>37</v>
      </c>
      <c r="E32" s="215" t="s">
        <v>332</v>
      </c>
      <c r="F32" s="170"/>
      <c r="G32" s="170"/>
      <c r="H32" s="170"/>
      <c r="I32" s="171"/>
    </row>
    <row r="33" spans="1:9" ht="40" customHeight="1" x14ac:dyDescent="0.35">
      <c r="A33" s="225"/>
      <c r="B33" s="227"/>
      <c r="C33" s="185">
        <v>3</v>
      </c>
      <c r="D33" s="185" t="s">
        <v>37</v>
      </c>
      <c r="E33" s="215" t="s">
        <v>327</v>
      </c>
      <c r="F33" s="170"/>
      <c r="G33" s="170"/>
      <c r="H33" s="170"/>
      <c r="I33" s="171"/>
    </row>
    <row r="34" spans="1:9" ht="50.15" customHeight="1" x14ac:dyDescent="0.35">
      <c r="A34" s="187">
        <v>46042</v>
      </c>
      <c r="B34" s="188" t="s">
        <v>40</v>
      </c>
      <c r="C34" s="185">
        <v>4</v>
      </c>
      <c r="D34" s="185" t="s">
        <v>37</v>
      </c>
      <c r="E34" s="215" t="s">
        <v>316</v>
      </c>
      <c r="F34" s="170"/>
      <c r="G34" s="170"/>
      <c r="H34" s="170"/>
      <c r="I34" s="171"/>
    </row>
    <row r="35" spans="1:9" ht="40" customHeight="1" x14ac:dyDescent="0.35">
      <c r="A35" s="187">
        <v>46043</v>
      </c>
      <c r="B35" s="188" t="s">
        <v>7</v>
      </c>
      <c r="C35" s="185">
        <v>1</v>
      </c>
      <c r="D35" s="185" t="s">
        <v>37</v>
      </c>
      <c r="E35" s="159" t="s">
        <v>315</v>
      </c>
      <c r="F35" s="170"/>
      <c r="G35" s="170"/>
      <c r="H35" s="170"/>
      <c r="I35" s="171"/>
    </row>
    <row r="36" spans="1:9" ht="50.15" customHeight="1" x14ac:dyDescent="0.35">
      <c r="A36" s="244">
        <v>46044</v>
      </c>
      <c r="B36" s="245" t="s">
        <v>8</v>
      </c>
      <c r="C36" s="185">
        <v>3</v>
      </c>
      <c r="D36" s="185" t="s">
        <v>36</v>
      </c>
      <c r="E36" s="137" t="s">
        <v>317</v>
      </c>
      <c r="F36" s="170"/>
      <c r="G36" s="170"/>
      <c r="H36" s="170"/>
      <c r="I36" s="171"/>
    </row>
    <row r="37" spans="1:9" ht="35.15" customHeight="1" x14ac:dyDescent="0.35">
      <c r="A37" s="244"/>
      <c r="B37" s="245"/>
      <c r="C37" s="185">
        <v>6</v>
      </c>
      <c r="D37" s="185" t="s">
        <v>37</v>
      </c>
      <c r="E37" s="149" t="s">
        <v>321</v>
      </c>
      <c r="F37" s="170"/>
      <c r="G37" s="170"/>
      <c r="H37" s="170"/>
      <c r="I37" s="171"/>
    </row>
    <row r="38" spans="1:9" ht="35.15" customHeight="1" x14ac:dyDescent="0.35">
      <c r="A38" s="224">
        <v>46047</v>
      </c>
      <c r="B38" s="396" t="s">
        <v>17</v>
      </c>
      <c r="C38" s="185">
        <v>3</v>
      </c>
      <c r="D38" s="185" t="s">
        <v>36</v>
      </c>
      <c r="E38" s="215" t="s">
        <v>318</v>
      </c>
      <c r="F38" s="170"/>
      <c r="G38" s="170"/>
      <c r="H38" s="170"/>
      <c r="I38" s="171"/>
    </row>
    <row r="39" spans="1:9" ht="35.15" customHeight="1" x14ac:dyDescent="0.35">
      <c r="A39" s="228"/>
      <c r="B39" s="397"/>
      <c r="C39" s="185">
        <v>2</v>
      </c>
      <c r="D39" s="185" t="s">
        <v>36</v>
      </c>
      <c r="E39" s="215" t="s">
        <v>320</v>
      </c>
      <c r="F39" s="170"/>
      <c r="G39" s="170"/>
      <c r="H39" s="170"/>
      <c r="I39" s="171"/>
    </row>
    <row r="40" spans="1:9" ht="35.15" customHeight="1" x14ac:dyDescent="0.35">
      <c r="A40" s="225"/>
      <c r="B40" s="398"/>
      <c r="C40" s="185">
        <v>2</v>
      </c>
      <c r="D40" s="185" t="s">
        <v>36</v>
      </c>
      <c r="E40" s="215" t="s">
        <v>329</v>
      </c>
      <c r="F40" s="170"/>
      <c r="G40" s="170"/>
      <c r="H40" s="170"/>
      <c r="I40" s="171"/>
    </row>
    <row r="41" spans="1:9" ht="50.15" customHeight="1" x14ac:dyDescent="0.35">
      <c r="A41" s="224">
        <v>46048</v>
      </c>
      <c r="B41" s="226" t="s">
        <v>34</v>
      </c>
      <c r="C41" s="185">
        <v>3</v>
      </c>
      <c r="D41" s="185" t="s">
        <v>37</v>
      </c>
      <c r="E41" s="215" t="s">
        <v>333</v>
      </c>
      <c r="F41" s="170"/>
      <c r="G41" s="170"/>
      <c r="H41" s="170"/>
      <c r="I41" s="171"/>
    </row>
    <row r="42" spans="1:9" ht="35.15" customHeight="1" x14ac:dyDescent="0.35">
      <c r="A42" s="225"/>
      <c r="B42" s="227"/>
      <c r="C42" s="185">
        <v>5</v>
      </c>
      <c r="D42" s="185" t="s">
        <v>37</v>
      </c>
      <c r="E42" s="215" t="s">
        <v>319</v>
      </c>
      <c r="F42" s="170"/>
      <c r="G42" s="170"/>
      <c r="H42" s="170"/>
      <c r="I42" s="171"/>
    </row>
    <row r="43" spans="1:9" ht="35.15" customHeight="1" x14ac:dyDescent="0.35">
      <c r="A43" s="224">
        <v>46051</v>
      </c>
      <c r="B43" s="226" t="s">
        <v>8</v>
      </c>
      <c r="C43" s="185">
        <v>5</v>
      </c>
      <c r="D43" s="185" t="s">
        <v>37</v>
      </c>
      <c r="E43" s="149" t="s">
        <v>328</v>
      </c>
      <c r="F43" s="170"/>
      <c r="G43" s="170"/>
      <c r="H43" s="170"/>
      <c r="I43" s="171"/>
    </row>
    <row r="44" spans="1:9" ht="35.15" customHeight="1" x14ac:dyDescent="0.35">
      <c r="A44" s="225"/>
      <c r="B44" s="227"/>
      <c r="C44" s="185">
        <v>2</v>
      </c>
      <c r="D44" s="185" t="s">
        <v>37</v>
      </c>
      <c r="E44" s="215" t="s">
        <v>334</v>
      </c>
      <c r="F44" s="170"/>
      <c r="G44" s="170"/>
      <c r="H44" s="170"/>
      <c r="I44" s="171"/>
    </row>
    <row r="45" spans="1:9" ht="35.15" customHeight="1" thickBot="1" x14ac:dyDescent="0.55000000000000004">
      <c r="A45" s="250" t="s">
        <v>1</v>
      </c>
      <c r="B45" s="251"/>
      <c r="C45" s="190">
        <f>SUM(C12:C44)</f>
        <v>93</v>
      </c>
      <c r="D45" s="190">
        <f>+'דצמבר 2025 '!E35</f>
        <v>903</v>
      </c>
      <c r="E45" s="191">
        <f>D45-C45</f>
        <v>810</v>
      </c>
      <c r="F45" s="170"/>
      <c r="G45" s="170"/>
      <c r="H45" s="170"/>
      <c r="I45" s="171"/>
    </row>
    <row r="46" spans="1:9" ht="13.75" customHeight="1" thickTop="1" x14ac:dyDescent="0.35">
      <c r="A46" s="179"/>
      <c r="B46" s="170"/>
      <c r="C46" s="170"/>
      <c r="D46" s="170"/>
      <c r="E46" s="170"/>
      <c r="F46" s="170"/>
      <c r="G46" s="170"/>
      <c r="H46" s="170"/>
      <c r="I46" s="171"/>
    </row>
    <row r="47" spans="1:9" ht="13.75" customHeight="1" thickBot="1" x14ac:dyDescent="0.4">
      <c r="A47" s="179"/>
      <c r="B47" s="170"/>
      <c r="C47" s="170"/>
      <c r="D47" s="170"/>
      <c r="E47" s="170"/>
      <c r="F47" s="170"/>
      <c r="G47" s="170"/>
      <c r="H47" s="170"/>
      <c r="I47" s="171"/>
    </row>
    <row r="48" spans="1:9" ht="30" customHeight="1" thickTop="1" x14ac:dyDescent="0.4">
      <c r="A48" s="252" t="s">
        <v>18</v>
      </c>
      <c r="B48" s="253"/>
      <c r="C48" s="192"/>
      <c r="D48" s="193">
        <v>93</v>
      </c>
      <c r="F48" s="195"/>
      <c r="G48" s="178"/>
      <c r="H48" s="178"/>
      <c r="I48" s="196"/>
    </row>
    <row r="49" spans="1:9" ht="30" customHeight="1" x14ac:dyDescent="0.4">
      <c r="A49" s="254" t="s">
        <v>19</v>
      </c>
      <c r="B49" s="255"/>
      <c r="C49" s="197"/>
      <c r="D49" s="198"/>
      <c r="E49" s="199"/>
      <c r="F49" s="200"/>
      <c r="G49" s="178"/>
      <c r="H49" s="178"/>
      <c r="I49" s="196"/>
    </row>
    <row r="50" spans="1:9" ht="30" customHeight="1" x14ac:dyDescent="0.4">
      <c r="A50" s="254" t="s">
        <v>20</v>
      </c>
      <c r="B50" s="255"/>
      <c r="C50" s="197"/>
      <c r="D50" s="198"/>
      <c r="E50" s="199"/>
      <c r="F50" s="200"/>
      <c r="G50" s="178"/>
      <c r="H50" s="178"/>
      <c r="I50" s="196"/>
    </row>
    <row r="51" spans="1:9" ht="30" customHeight="1" thickBot="1" x14ac:dyDescent="0.45">
      <c r="A51" s="256" t="s">
        <v>21</v>
      </c>
      <c r="B51" s="257"/>
      <c r="C51" s="201"/>
      <c r="D51" s="202"/>
      <c r="E51" s="199"/>
      <c r="F51" s="200"/>
      <c r="G51" s="178"/>
      <c r="H51" s="178"/>
      <c r="I51" s="196"/>
    </row>
    <row r="52" spans="1:9" ht="30" customHeight="1" thickTop="1" thickBot="1" x14ac:dyDescent="0.45">
      <c r="A52" s="258" t="s">
        <v>20</v>
      </c>
      <c r="B52" s="259"/>
      <c r="C52" s="203"/>
      <c r="D52" s="204">
        <f>D51+D50</f>
        <v>0</v>
      </c>
      <c r="E52" s="199"/>
      <c r="F52" s="195"/>
      <c r="G52" s="178"/>
      <c r="H52" s="178"/>
      <c r="I52" s="196"/>
    </row>
    <row r="53" spans="1:9" ht="13.75" customHeight="1" thickTop="1" thickBot="1" x14ac:dyDescent="0.5">
      <c r="A53" s="205"/>
      <c r="B53" s="206"/>
      <c r="C53" s="206"/>
      <c r="D53" s="206"/>
      <c r="E53" s="206"/>
      <c r="F53" s="206"/>
      <c r="G53" s="206"/>
      <c r="H53" s="206"/>
      <c r="I53" s="207"/>
    </row>
    <row r="54" spans="1:9" ht="25" customHeight="1" thickTop="1" thickBot="1" x14ac:dyDescent="0.45">
      <c r="A54" s="260" t="s">
        <v>22</v>
      </c>
      <c r="B54" s="261"/>
      <c r="C54" s="261"/>
      <c r="D54" s="261"/>
      <c r="E54" s="261"/>
      <c r="F54" s="261"/>
      <c r="G54" s="261"/>
      <c r="H54" s="261"/>
      <c r="I54" s="262"/>
    </row>
    <row r="55" spans="1:9" ht="25" customHeight="1" thickTop="1" thickBot="1" x14ac:dyDescent="0.65">
      <c r="A55" s="246" t="s">
        <v>23</v>
      </c>
      <c r="B55" s="247"/>
      <c r="C55" s="208"/>
      <c r="D55" s="209"/>
      <c r="E55" s="210"/>
      <c r="F55" s="211"/>
      <c r="G55" s="194" t="s">
        <v>24</v>
      </c>
      <c r="H55" s="248">
        <v>46052</v>
      </c>
      <c r="I55" s="249"/>
    </row>
    <row r="56" spans="1:9" ht="25" customHeight="1" thickTop="1" thickBot="1" x14ac:dyDescent="0.65">
      <c r="A56" s="263" t="s">
        <v>25</v>
      </c>
      <c r="B56" s="264"/>
      <c r="C56" s="195"/>
      <c r="D56" s="269" t="s">
        <v>26</v>
      </c>
      <c r="E56" s="269"/>
      <c r="F56" s="269"/>
      <c r="G56" s="269"/>
      <c r="H56" s="269"/>
      <c r="I56" s="196"/>
    </row>
    <row r="57" spans="1:9" ht="25" customHeight="1" thickTop="1" x14ac:dyDescent="0.4">
      <c r="A57" s="270" t="s">
        <v>27</v>
      </c>
      <c r="B57" s="271"/>
      <c r="C57" s="271"/>
      <c r="D57" s="271"/>
      <c r="E57" s="271"/>
      <c r="F57" s="211"/>
      <c r="G57" s="271" t="s">
        <v>28</v>
      </c>
      <c r="H57" s="271"/>
      <c r="I57" s="272"/>
    </row>
    <row r="58" spans="1:9" ht="25" customHeight="1" thickBot="1" x14ac:dyDescent="0.45">
      <c r="A58" s="270" t="s">
        <v>29</v>
      </c>
      <c r="B58" s="271"/>
      <c r="C58" s="271"/>
      <c r="D58" s="271"/>
      <c r="E58" s="194" t="s">
        <v>30</v>
      </c>
      <c r="F58" s="194"/>
      <c r="G58" s="273"/>
      <c r="H58" s="273"/>
      <c r="I58" s="212"/>
    </row>
    <row r="59" spans="1:9" ht="25" customHeight="1" thickTop="1" thickBot="1" x14ac:dyDescent="0.45">
      <c r="A59" s="263" t="s">
        <v>30</v>
      </c>
      <c r="B59" s="264"/>
      <c r="C59" s="195"/>
      <c r="D59" s="213"/>
      <c r="E59" s="194" t="s">
        <v>31</v>
      </c>
      <c r="F59" s="194"/>
      <c r="G59" s="265"/>
      <c r="H59" s="265"/>
      <c r="I59" s="196"/>
    </row>
    <row r="60" spans="1:9" ht="25" customHeight="1" thickTop="1" thickBot="1" x14ac:dyDescent="0.45">
      <c r="A60" s="263" t="s">
        <v>23</v>
      </c>
      <c r="B60" s="264"/>
      <c r="C60" s="195"/>
      <c r="D60" s="213"/>
      <c r="E60" s="194" t="s">
        <v>23</v>
      </c>
      <c r="F60" s="194"/>
      <c r="G60" s="213"/>
      <c r="H60" s="194" t="s">
        <v>0</v>
      </c>
      <c r="I60" s="214"/>
    </row>
    <row r="61" spans="1:9" ht="25" customHeight="1" thickTop="1" thickBot="1" x14ac:dyDescent="0.45">
      <c r="A61" s="266" t="s">
        <v>52</v>
      </c>
      <c r="B61" s="267"/>
      <c r="C61" s="267"/>
      <c r="D61" s="267"/>
      <c r="E61" s="267"/>
      <c r="F61" s="267"/>
      <c r="G61" s="267"/>
      <c r="H61" s="267"/>
      <c r="I61" s="268"/>
    </row>
    <row r="62" spans="1:9" ht="14.5" customHeight="1" thickTop="1" x14ac:dyDescent="0.35">
      <c r="A62" s="170"/>
      <c r="B62" s="170"/>
      <c r="C62" s="170"/>
      <c r="D62" s="170"/>
      <c r="E62" s="170"/>
      <c r="F62" s="170"/>
      <c r="G62" s="170"/>
      <c r="H62" s="170"/>
      <c r="I62" s="170"/>
    </row>
  </sheetData>
  <mergeCells count="45">
    <mergeCell ref="A51:B51"/>
    <mergeCell ref="A52:B52"/>
    <mergeCell ref="A54:I54"/>
    <mergeCell ref="A45:B45"/>
    <mergeCell ref="A48:B48"/>
    <mergeCell ref="B36:B37"/>
    <mergeCell ref="A43:A44"/>
    <mergeCell ref="B43:B44"/>
    <mergeCell ref="A49:B49"/>
    <mergeCell ref="A50:B50"/>
    <mergeCell ref="A41:A42"/>
    <mergeCell ref="B41:B42"/>
    <mergeCell ref="A55:B55"/>
    <mergeCell ref="A28:A31"/>
    <mergeCell ref="A61:I61"/>
    <mergeCell ref="A56:B56"/>
    <mergeCell ref="D56:H56"/>
    <mergeCell ref="A57:E57"/>
    <mergeCell ref="G57:I57"/>
    <mergeCell ref="A58:D58"/>
    <mergeCell ref="G58:H58"/>
    <mergeCell ref="A59:B59"/>
    <mergeCell ref="G59:H59"/>
    <mergeCell ref="A60:B60"/>
    <mergeCell ref="A38:A40"/>
    <mergeCell ref="B38:B40"/>
    <mergeCell ref="H55:I55"/>
    <mergeCell ref="A36:A37"/>
    <mergeCell ref="A2:E2"/>
    <mergeCell ref="A4:E4"/>
    <mergeCell ref="C5:D5"/>
    <mergeCell ref="C6:D7"/>
    <mergeCell ref="A13:A14"/>
    <mergeCell ref="B13:B14"/>
    <mergeCell ref="A11:A12"/>
    <mergeCell ref="B11:B12"/>
    <mergeCell ref="A32:A33"/>
    <mergeCell ref="B32:B33"/>
    <mergeCell ref="A20:A22"/>
    <mergeCell ref="B20:B22"/>
    <mergeCell ref="A15:A17"/>
    <mergeCell ref="B15:B17"/>
    <mergeCell ref="B28:B31"/>
    <mergeCell ref="A23:A25"/>
    <mergeCell ref="B23:B25"/>
  </mergeCells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48"/>
  <sheetViews>
    <sheetView rightToLeft="1" topLeftCell="A24" zoomScaleNormal="100" workbookViewId="0">
      <selection activeCell="E24" sqref="E24"/>
    </sheetView>
  </sheetViews>
  <sheetFormatPr defaultColWidth="8.58203125" defaultRowHeight="14" x14ac:dyDescent="0.3"/>
  <cols>
    <col min="1" max="1" width="25.58203125" style="164" customWidth="1"/>
    <col min="2" max="3" width="20.58203125" style="164" customWidth="1"/>
    <col min="4" max="4" width="15.58203125" style="164" customWidth="1"/>
    <col min="5" max="5" width="77.5" style="164" customWidth="1"/>
    <col min="6" max="16384" width="8.58203125" style="164"/>
  </cols>
  <sheetData>
    <row r="1" spans="1:11" ht="13.75" customHeight="1" thickBot="1" x14ac:dyDescent="0.35"/>
    <row r="2" spans="1:11" ht="35.15" customHeight="1" thickTop="1" thickBot="1" x14ac:dyDescent="0.6">
      <c r="A2" s="230" t="s">
        <v>2</v>
      </c>
      <c r="B2" s="231"/>
      <c r="C2" s="231"/>
      <c r="D2" s="231"/>
      <c r="E2" s="232"/>
      <c r="F2" s="165"/>
      <c r="G2" s="165"/>
      <c r="H2" s="166"/>
      <c r="I2" s="167"/>
    </row>
    <row r="3" spans="1:11" ht="13.75" customHeight="1" thickTop="1" thickBot="1" x14ac:dyDescent="0.4">
      <c r="A3" s="168"/>
      <c r="B3" s="169"/>
      <c r="C3" s="169"/>
      <c r="D3" s="169"/>
      <c r="E3" s="169"/>
      <c r="F3" s="170"/>
      <c r="G3" s="170"/>
      <c r="H3" s="170"/>
      <c r="I3" s="171"/>
    </row>
    <row r="4" spans="1:11" ht="35.15" customHeight="1" thickTop="1" thickBot="1" x14ac:dyDescent="0.4">
      <c r="A4" s="233" t="s">
        <v>357</v>
      </c>
      <c r="B4" s="234"/>
      <c r="C4" s="234"/>
      <c r="D4" s="234"/>
      <c r="E4" s="235"/>
      <c r="F4" s="170"/>
      <c r="G4" s="170"/>
      <c r="H4" s="170"/>
      <c r="I4" s="171"/>
    </row>
    <row r="5" spans="1:11" ht="50.15" customHeight="1" thickTop="1" thickBot="1" x14ac:dyDescent="0.4">
      <c r="A5" s="172" t="s">
        <v>3</v>
      </c>
      <c r="B5" s="173" t="s">
        <v>15</v>
      </c>
      <c r="C5" s="236" t="s">
        <v>13</v>
      </c>
      <c r="D5" s="237"/>
      <c r="E5" s="174" t="s">
        <v>14</v>
      </c>
      <c r="F5" s="170"/>
      <c r="G5" s="170"/>
      <c r="H5" s="170"/>
      <c r="I5" s="171"/>
    </row>
    <row r="6" spans="1:11" ht="30" customHeight="1" thickTop="1" thickBot="1" x14ac:dyDescent="0.4">
      <c r="A6" s="175" t="s">
        <v>42</v>
      </c>
      <c r="B6" s="175" t="s">
        <v>33</v>
      </c>
      <c r="C6" s="238">
        <v>46054</v>
      </c>
      <c r="D6" s="239"/>
      <c r="E6" s="175" t="s">
        <v>2</v>
      </c>
      <c r="F6" s="170"/>
      <c r="G6" s="170"/>
      <c r="H6" s="170"/>
      <c r="I6" s="171"/>
    </row>
    <row r="7" spans="1:11" ht="30" customHeight="1" thickTop="1" thickBot="1" x14ac:dyDescent="0.4">
      <c r="A7" s="175" t="s">
        <v>4</v>
      </c>
      <c r="B7" s="175" t="s">
        <v>5</v>
      </c>
      <c r="C7" s="240"/>
      <c r="D7" s="241"/>
      <c r="E7" s="176" t="s">
        <v>356</v>
      </c>
      <c r="F7" s="170"/>
      <c r="G7" s="170"/>
      <c r="H7" s="170"/>
      <c r="I7" s="171"/>
    </row>
    <row r="8" spans="1:11" ht="13.75" customHeight="1" thickTop="1" x14ac:dyDescent="0.35">
      <c r="A8" s="177"/>
      <c r="B8" s="178"/>
      <c r="C8" s="178"/>
      <c r="D8" s="178"/>
      <c r="E8" s="178"/>
      <c r="F8" s="170"/>
      <c r="G8" s="170"/>
      <c r="H8" s="170"/>
      <c r="I8" s="171"/>
    </row>
    <row r="9" spans="1:11" ht="13.75" customHeight="1" thickBot="1" x14ac:dyDescent="0.4">
      <c r="A9" s="179"/>
      <c r="B9" s="170"/>
      <c r="C9" s="170"/>
      <c r="D9" s="170"/>
      <c r="E9" s="170"/>
      <c r="F9" s="170"/>
      <c r="G9" s="170"/>
      <c r="H9" s="170"/>
      <c r="I9" s="171"/>
    </row>
    <row r="10" spans="1:11" ht="35.15" customHeight="1" thickTop="1" thickBot="1" x14ac:dyDescent="0.4">
      <c r="A10" s="219" t="s">
        <v>0</v>
      </c>
      <c r="B10" s="220" t="s">
        <v>6</v>
      </c>
      <c r="C10" s="221" t="s">
        <v>9</v>
      </c>
      <c r="D10" s="220" t="s">
        <v>35</v>
      </c>
      <c r="E10" s="222" t="s">
        <v>10</v>
      </c>
      <c r="F10" s="170"/>
      <c r="G10" s="170"/>
      <c r="H10" s="170"/>
      <c r="I10" s="171"/>
      <c r="K10" s="164" t="s">
        <v>51</v>
      </c>
    </row>
    <row r="11" spans="1:11" ht="35.15" customHeight="1" thickTop="1" x14ac:dyDescent="0.35">
      <c r="A11" s="242">
        <v>46054</v>
      </c>
      <c r="B11" s="243" t="s">
        <v>17</v>
      </c>
      <c r="C11" s="189">
        <v>2</v>
      </c>
      <c r="D11" s="189" t="s">
        <v>36</v>
      </c>
      <c r="E11" s="137" t="s">
        <v>338</v>
      </c>
      <c r="F11" s="170"/>
      <c r="G11" s="170"/>
      <c r="H11" s="170"/>
      <c r="I11" s="171"/>
    </row>
    <row r="12" spans="1:11" ht="35.15" customHeight="1" x14ac:dyDescent="0.35">
      <c r="A12" s="228"/>
      <c r="B12" s="229"/>
      <c r="C12" s="185">
        <v>1</v>
      </c>
      <c r="D12" s="185" t="s">
        <v>36</v>
      </c>
      <c r="E12" s="215" t="s">
        <v>337</v>
      </c>
      <c r="F12" s="170"/>
      <c r="G12" s="170"/>
      <c r="H12" s="170"/>
      <c r="I12" s="171"/>
    </row>
    <row r="13" spans="1:11" ht="35.15" customHeight="1" x14ac:dyDescent="0.35">
      <c r="A13" s="228"/>
      <c r="B13" s="229"/>
      <c r="C13" s="185">
        <v>3</v>
      </c>
      <c r="D13" s="185" t="s">
        <v>36</v>
      </c>
      <c r="E13" s="137" t="s">
        <v>353</v>
      </c>
      <c r="F13" s="170"/>
      <c r="G13" s="170"/>
      <c r="H13" s="170"/>
      <c r="I13" s="171"/>
    </row>
    <row r="14" spans="1:11" ht="35.15" customHeight="1" x14ac:dyDescent="0.35">
      <c r="A14" s="225"/>
      <c r="B14" s="227"/>
      <c r="C14" s="185">
        <v>1</v>
      </c>
      <c r="D14" s="185" t="s">
        <v>36</v>
      </c>
      <c r="E14" s="215" t="s">
        <v>277</v>
      </c>
      <c r="F14" s="170"/>
      <c r="G14" s="170"/>
      <c r="H14" s="170"/>
      <c r="I14" s="171"/>
    </row>
    <row r="15" spans="1:11" ht="50" customHeight="1" x14ac:dyDescent="0.35">
      <c r="A15" s="244">
        <v>46055</v>
      </c>
      <c r="B15" s="245" t="s">
        <v>34</v>
      </c>
      <c r="C15" s="185">
        <v>3</v>
      </c>
      <c r="D15" s="185" t="s">
        <v>37</v>
      </c>
      <c r="E15" s="215" t="s">
        <v>339</v>
      </c>
      <c r="F15" s="170"/>
      <c r="G15" s="170"/>
      <c r="H15" s="170"/>
      <c r="I15" s="171"/>
    </row>
    <row r="16" spans="1:11" ht="35.15" customHeight="1" x14ac:dyDescent="0.35">
      <c r="A16" s="244"/>
      <c r="B16" s="245"/>
      <c r="C16" s="185">
        <v>2.5</v>
      </c>
      <c r="D16" s="185" t="s">
        <v>37</v>
      </c>
      <c r="E16" s="215" t="s">
        <v>340</v>
      </c>
      <c r="F16" s="170"/>
      <c r="G16" s="170"/>
      <c r="H16" s="170"/>
      <c r="I16" s="171"/>
    </row>
    <row r="17" spans="1:9" ht="35.15" customHeight="1" x14ac:dyDescent="0.35">
      <c r="A17" s="187">
        <v>46056</v>
      </c>
      <c r="B17" s="188" t="s">
        <v>40</v>
      </c>
      <c r="C17" s="185">
        <v>7</v>
      </c>
      <c r="D17" s="185" t="s">
        <v>37</v>
      </c>
      <c r="E17" s="137" t="s">
        <v>344</v>
      </c>
      <c r="F17" s="170"/>
      <c r="G17" s="170"/>
      <c r="H17" s="170"/>
      <c r="I17" s="171"/>
    </row>
    <row r="18" spans="1:9" ht="35.15" customHeight="1" x14ac:dyDescent="0.35">
      <c r="A18" s="224">
        <v>46058</v>
      </c>
      <c r="B18" s="226" t="s">
        <v>8</v>
      </c>
      <c r="C18" s="185">
        <v>2</v>
      </c>
      <c r="D18" s="185" t="s">
        <v>37</v>
      </c>
      <c r="E18" s="215" t="s">
        <v>342</v>
      </c>
      <c r="F18" s="170"/>
      <c r="G18" s="170"/>
      <c r="H18" s="170"/>
      <c r="I18" s="171"/>
    </row>
    <row r="19" spans="1:9" ht="35.15" customHeight="1" x14ac:dyDescent="0.35">
      <c r="A19" s="228"/>
      <c r="B19" s="229"/>
      <c r="C19" s="185">
        <v>3</v>
      </c>
      <c r="D19" s="185" t="s">
        <v>37</v>
      </c>
      <c r="E19" s="215" t="s">
        <v>343</v>
      </c>
      <c r="F19" s="170"/>
      <c r="G19" s="170"/>
      <c r="H19" s="170"/>
      <c r="I19" s="171"/>
    </row>
    <row r="20" spans="1:9" ht="35.15" customHeight="1" x14ac:dyDescent="0.35">
      <c r="A20" s="225"/>
      <c r="B20" s="227"/>
      <c r="C20" s="185">
        <v>2</v>
      </c>
      <c r="D20" s="185" t="s">
        <v>37</v>
      </c>
      <c r="E20" s="137" t="s">
        <v>341</v>
      </c>
      <c r="F20" s="170"/>
      <c r="G20" s="170"/>
      <c r="H20" s="170"/>
      <c r="I20" s="171"/>
    </row>
    <row r="21" spans="1:9" ht="35.15" customHeight="1" x14ac:dyDescent="0.35">
      <c r="A21" s="244">
        <v>46061</v>
      </c>
      <c r="B21" s="245" t="s">
        <v>17</v>
      </c>
      <c r="C21" s="185">
        <v>2</v>
      </c>
      <c r="D21" s="185" t="s">
        <v>36</v>
      </c>
      <c r="E21" s="137" t="s">
        <v>345</v>
      </c>
      <c r="F21" s="170"/>
      <c r="G21" s="170"/>
      <c r="H21" s="170"/>
      <c r="I21" s="171"/>
    </row>
    <row r="22" spans="1:9" ht="35.15" customHeight="1" x14ac:dyDescent="0.35">
      <c r="A22" s="244"/>
      <c r="B22" s="245"/>
      <c r="C22" s="185">
        <v>2.5</v>
      </c>
      <c r="D22" s="185" t="s">
        <v>36</v>
      </c>
      <c r="E22" s="137" t="s">
        <v>349</v>
      </c>
      <c r="F22" s="170"/>
      <c r="G22" s="170"/>
      <c r="H22" s="170"/>
      <c r="I22" s="171"/>
    </row>
    <row r="23" spans="1:9" ht="35.15" customHeight="1" x14ac:dyDescent="0.35">
      <c r="A23" s="244"/>
      <c r="B23" s="245"/>
      <c r="C23" s="185">
        <v>3</v>
      </c>
      <c r="D23" s="185" t="s">
        <v>36</v>
      </c>
      <c r="E23" s="215" t="s">
        <v>346</v>
      </c>
      <c r="F23" s="170"/>
      <c r="G23" s="170"/>
      <c r="H23" s="170"/>
      <c r="I23" s="171"/>
    </row>
    <row r="24" spans="1:9" ht="35.15" customHeight="1" x14ac:dyDescent="0.35">
      <c r="A24" s="224">
        <v>46063</v>
      </c>
      <c r="B24" s="226" t="s">
        <v>40</v>
      </c>
      <c r="C24" s="185">
        <v>5</v>
      </c>
      <c r="D24" s="189" t="s">
        <v>37</v>
      </c>
      <c r="E24" s="215" t="s">
        <v>382</v>
      </c>
      <c r="F24" s="170"/>
      <c r="G24" s="170"/>
      <c r="H24" s="170"/>
      <c r="I24" s="171"/>
    </row>
    <row r="25" spans="1:9" ht="35.15" customHeight="1" x14ac:dyDescent="0.35">
      <c r="A25" s="228"/>
      <c r="B25" s="229"/>
      <c r="C25" s="189">
        <v>2</v>
      </c>
      <c r="D25" s="189" t="s">
        <v>37</v>
      </c>
      <c r="E25" s="137" t="s">
        <v>348</v>
      </c>
      <c r="F25" s="170"/>
      <c r="G25" s="170"/>
      <c r="H25" s="170"/>
      <c r="I25" s="171"/>
    </row>
    <row r="26" spans="1:9" ht="35.15" customHeight="1" x14ac:dyDescent="0.35">
      <c r="A26" s="184">
        <v>46065</v>
      </c>
      <c r="B26" s="185" t="s">
        <v>8</v>
      </c>
      <c r="C26" s="185">
        <v>4</v>
      </c>
      <c r="D26" s="185" t="s">
        <v>37</v>
      </c>
      <c r="E26" s="137" t="s">
        <v>347</v>
      </c>
      <c r="F26" s="170"/>
      <c r="G26" s="170"/>
      <c r="H26" s="170"/>
      <c r="I26" s="171"/>
    </row>
    <row r="27" spans="1:9" ht="50.15" customHeight="1" x14ac:dyDescent="0.35">
      <c r="A27" s="184">
        <v>46077</v>
      </c>
      <c r="B27" s="185" t="s">
        <v>40</v>
      </c>
      <c r="C27" s="185">
        <v>4</v>
      </c>
      <c r="D27" s="185" t="s">
        <v>37</v>
      </c>
      <c r="E27" s="215" t="s">
        <v>381</v>
      </c>
      <c r="F27" s="170"/>
      <c r="G27" s="170"/>
      <c r="H27" s="170"/>
      <c r="I27" s="171"/>
    </row>
    <row r="28" spans="1:9" ht="35" customHeight="1" x14ac:dyDescent="0.35">
      <c r="A28" s="224">
        <v>46079</v>
      </c>
      <c r="B28" s="226" t="s">
        <v>8</v>
      </c>
      <c r="C28" s="185">
        <v>2</v>
      </c>
      <c r="D28" s="185" t="s">
        <v>37</v>
      </c>
      <c r="E28" s="215" t="s">
        <v>350</v>
      </c>
      <c r="F28" s="170"/>
      <c r="G28" s="170"/>
      <c r="H28" s="170"/>
      <c r="I28" s="171"/>
    </row>
    <row r="29" spans="1:9" ht="35" customHeight="1" x14ac:dyDescent="0.35">
      <c r="A29" s="228"/>
      <c r="B29" s="229"/>
      <c r="C29" s="185">
        <v>2</v>
      </c>
      <c r="D29" s="185" t="s">
        <v>37</v>
      </c>
      <c r="E29" s="137" t="s">
        <v>352</v>
      </c>
      <c r="F29" s="170"/>
      <c r="G29" s="170"/>
      <c r="H29" s="170"/>
      <c r="I29" s="171"/>
    </row>
    <row r="30" spans="1:9" ht="35" customHeight="1" x14ac:dyDescent="0.35">
      <c r="A30" s="225"/>
      <c r="B30" s="227"/>
      <c r="C30" s="185">
        <v>3</v>
      </c>
      <c r="D30" s="185" t="s">
        <v>37</v>
      </c>
      <c r="E30" s="215" t="s">
        <v>351</v>
      </c>
      <c r="F30" s="170"/>
      <c r="G30" s="170"/>
      <c r="H30" s="170"/>
      <c r="I30" s="171"/>
    </row>
    <row r="31" spans="1:9" ht="35.15" customHeight="1" thickBot="1" x14ac:dyDescent="0.55000000000000004">
      <c r="A31" s="250" t="s">
        <v>1</v>
      </c>
      <c r="B31" s="251"/>
      <c r="C31" s="190">
        <f>SUM(C14:C30)</f>
        <v>50</v>
      </c>
      <c r="D31" s="190">
        <f>+'ינואר 2026'!E45</f>
        <v>810</v>
      </c>
      <c r="E31" s="191">
        <f>D31-C31</f>
        <v>760</v>
      </c>
      <c r="F31" s="170"/>
      <c r="G31" s="170"/>
      <c r="H31" s="170"/>
      <c r="I31" s="171"/>
    </row>
    <row r="32" spans="1:9" ht="13.75" customHeight="1" thickTop="1" x14ac:dyDescent="0.35">
      <c r="A32" s="179"/>
      <c r="B32" s="170"/>
      <c r="C32" s="170"/>
      <c r="D32" s="170"/>
      <c r="E32" s="170"/>
      <c r="F32" s="170"/>
      <c r="G32" s="170"/>
      <c r="H32" s="170"/>
      <c r="I32" s="171"/>
    </row>
    <row r="33" spans="1:9" ht="13.75" customHeight="1" thickBot="1" x14ac:dyDescent="0.4">
      <c r="A33" s="179"/>
      <c r="B33" s="170"/>
      <c r="C33" s="170"/>
      <c r="D33" s="170"/>
      <c r="E33" s="170"/>
      <c r="F33" s="170"/>
      <c r="G33" s="170"/>
      <c r="H33" s="170"/>
      <c r="I33" s="171"/>
    </row>
    <row r="34" spans="1:9" ht="30" customHeight="1" thickTop="1" x14ac:dyDescent="0.4">
      <c r="A34" s="252" t="s">
        <v>18</v>
      </c>
      <c r="B34" s="253"/>
      <c r="C34" s="192"/>
      <c r="D34" s="193">
        <v>50</v>
      </c>
      <c r="F34" s="195"/>
      <c r="G34" s="178"/>
      <c r="H34" s="178"/>
      <c r="I34" s="196"/>
    </row>
    <row r="35" spans="1:9" ht="30" customHeight="1" x14ac:dyDescent="0.4">
      <c r="A35" s="254" t="s">
        <v>19</v>
      </c>
      <c r="B35" s="255"/>
      <c r="C35" s="197"/>
      <c r="D35" s="198"/>
      <c r="E35" s="199"/>
      <c r="F35" s="200"/>
      <c r="G35" s="178"/>
      <c r="H35" s="178"/>
      <c r="I35" s="196"/>
    </row>
    <row r="36" spans="1:9" ht="30" customHeight="1" x14ac:dyDescent="0.4">
      <c r="A36" s="254" t="s">
        <v>20</v>
      </c>
      <c r="B36" s="255"/>
      <c r="C36" s="197"/>
      <c r="D36" s="198"/>
      <c r="E36" s="199"/>
      <c r="F36" s="200"/>
      <c r="G36" s="178"/>
      <c r="H36" s="178"/>
      <c r="I36" s="196"/>
    </row>
    <row r="37" spans="1:9" ht="30" customHeight="1" thickBot="1" x14ac:dyDescent="0.45">
      <c r="A37" s="256" t="s">
        <v>21</v>
      </c>
      <c r="B37" s="257"/>
      <c r="C37" s="201"/>
      <c r="D37" s="202"/>
      <c r="E37" s="199"/>
      <c r="F37" s="200"/>
      <c r="G37" s="178"/>
      <c r="H37" s="178"/>
      <c r="I37" s="196"/>
    </row>
    <row r="38" spans="1:9" ht="30" customHeight="1" thickTop="1" thickBot="1" x14ac:dyDescent="0.45">
      <c r="A38" s="258" t="s">
        <v>20</v>
      </c>
      <c r="B38" s="259"/>
      <c r="C38" s="203"/>
      <c r="D38" s="204">
        <f>D37+D36</f>
        <v>0</v>
      </c>
      <c r="E38" s="199"/>
      <c r="F38" s="195"/>
      <c r="G38" s="178"/>
      <c r="H38" s="178"/>
      <c r="I38" s="196"/>
    </row>
    <row r="39" spans="1:9" ht="13.75" customHeight="1" thickTop="1" thickBot="1" x14ac:dyDescent="0.5">
      <c r="A39" s="205"/>
      <c r="B39" s="206"/>
      <c r="C39" s="206"/>
      <c r="D39" s="206"/>
      <c r="E39" s="206"/>
      <c r="F39" s="206"/>
      <c r="G39" s="206"/>
      <c r="H39" s="206"/>
      <c r="I39" s="207"/>
    </row>
    <row r="40" spans="1:9" ht="25" customHeight="1" thickTop="1" thickBot="1" x14ac:dyDescent="0.45">
      <c r="A40" s="260" t="s">
        <v>22</v>
      </c>
      <c r="B40" s="261"/>
      <c r="C40" s="261"/>
      <c r="D40" s="261"/>
      <c r="E40" s="261"/>
      <c r="F40" s="261"/>
      <c r="G40" s="261"/>
      <c r="H40" s="261"/>
      <c r="I40" s="262"/>
    </row>
    <row r="41" spans="1:9" ht="25" customHeight="1" thickTop="1" thickBot="1" x14ac:dyDescent="0.65">
      <c r="A41" s="246" t="s">
        <v>23</v>
      </c>
      <c r="B41" s="247"/>
      <c r="C41" s="208"/>
      <c r="D41" s="209"/>
      <c r="E41" s="210"/>
      <c r="F41" s="211"/>
      <c r="G41" s="194" t="s">
        <v>24</v>
      </c>
      <c r="H41" s="248">
        <v>46081</v>
      </c>
      <c r="I41" s="249"/>
    </row>
    <row r="42" spans="1:9" ht="25" customHeight="1" thickTop="1" thickBot="1" x14ac:dyDescent="0.65">
      <c r="A42" s="263" t="s">
        <v>25</v>
      </c>
      <c r="B42" s="264"/>
      <c r="C42" s="195"/>
      <c r="D42" s="269" t="s">
        <v>26</v>
      </c>
      <c r="E42" s="269"/>
      <c r="F42" s="269"/>
      <c r="G42" s="269"/>
      <c r="H42" s="269"/>
      <c r="I42" s="196"/>
    </row>
    <row r="43" spans="1:9" ht="50" customHeight="1" thickTop="1" x14ac:dyDescent="0.4">
      <c r="A43" s="270" t="s">
        <v>27</v>
      </c>
      <c r="B43" s="271"/>
      <c r="C43" s="271"/>
      <c r="D43" s="271"/>
      <c r="E43" s="271"/>
      <c r="F43" s="211"/>
      <c r="G43" s="271" t="s">
        <v>28</v>
      </c>
      <c r="H43" s="271"/>
      <c r="I43" s="272"/>
    </row>
    <row r="44" spans="1:9" ht="25" customHeight="1" thickBot="1" x14ac:dyDescent="0.45">
      <c r="A44" s="270" t="s">
        <v>29</v>
      </c>
      <c r="B44" s="271"/>
      <c r="C44" s="271"/>
      <c r="D44" s="271"/>
      <c r="E44" s="194" t="s">
        <v>30</v>
      </c>
      <c r="F44" s="194"/>
      <c r="G44" s="273"/>
      <c r="H44" s="273"/>
      <c r="I44" s="212"/>
    </row>
    <row r="45" spans="1:9" ht="25" customHeight="1" thickTop="1" thickBot="1" x14ac:dyDescent="0.45">
      <c r="A45" s="263" t="s">
        <v>30</v>
      </c>
      <c r="B45" s="264"/>
      <c r="C45" s="195"/>
      <c r="D45" s="213"/>
      <c r="E45" s="194" t="s">
        <v>31</v>
      </c>
      <c r="F45" s="194"/>
      <c r="G45" s="265"/>
      <c r="H45" s="265"/>
      <c r="I45" s="196"/>
    </row>
    <row r="46" spans="1:9" ht="25" customHeight="1" thickTop="1" thickBot="1" x14ac:dyDescent="0.45">
      <c r="A46" s="263" t="s">
        <v>23</v>
      </c>
      <c r="B46" s="264"/>
      <c r="C46" s="195"/>
      <c r="D46" s="213"/>
      <c r="E46" s="194" t="s">
        <v>23</v>
      </c>
      <c r="F46" s="194"/>
      <c r="G46" s="213"/>
      <c r="H46" s="194" t="s">
        <v>0</v>
      </c>
      <c r="I46" s="214"/>
    </row>
    <row r="47" spans="1:9" ht="25" customHeight="1" thickTop="1" thickBot="1" x14ac:dyDescent="0.45">
      <c r="A47" s="266" t="s">
        <v>52</v>
      </c>
      <c r="B47" s="267"/>
      <c r="C47" s="267"/>
      <c r="D47" s="267"/>
      <c r="E47" s="267"/>
      <c r="F47" s="267"/>
      <c r="G47" s="267"/>
      <c r="H47" s="267"/>
      <c r="I47" s="268"/>
    </row>
    <row r="48" spans="1:9" ht="14.5" customHeight="1" thickTop="1" x14ac:dyDescent="0.35">
      <c r="A48" s="170"/>
      <c r="B48" s="170"/>
      <c r="C48" s="170"/>
      <c r="D48" s="170"/>
      <c r="E48" s="170"/>
      <c r="F48" s="170"/>
      <c r="G48" s="170"/>
      <c r="H48" s="170"/>
      <c r="I48" s="170"/>
    </row>
  </sheetData>
  <mergeCells count="35">
    <mergeCell ref="A2:E2"/>
    <mergeCell ref="A4:E4"/>
    <mergeCell ref="C5:D5"/>
    <mergeCell ref="A11:A14"/>
    <mergeCell ref="B11:B14"/>
    <mergeCell ref="C6:D7"/>
    <mergeCell ref="A15:A16"/>
    <mergeCell ref="B15:B16"/>
    <mergeCell ref="A21:A23"/>
    <mergeCell ref="B21:B23"/>
    <mergeCell ref="A18:A20"/>
    <mergeCell ref="B18:B20"/>
    <mergeCell ref="A24:A25"/>
    <mergeCell ref="B24:B25"/>
    <mergeCell ref="A28:A30"/>
    <mergeCell ref="B28:B30"/>
    <mergeCell ref="A42:B42"/>
    <mergeCell ref="D42:H42"/>
    <mergeCell ref="A31:B31"/>
    <mergeCell ref="A34:B34"/>
    <mergeCell ref="A35:B35"/>
    <mergeCell ref="A36:B36"/>
    <mergeCell ref="A37:B37"/>
    <mergeCell ref="A38:B38"/>
    <mergeCell ref="A40:I40"/>
    <mergeCell ref="A41:B41"/>
    <mergeCell ref="H41:I41"/>
    <mergeCell ref="A46:B46"/>
    <mergeCell ref="A47:I47"/>
    <mergeCell ref="A43:E43"/>
    <mergeCell ref="G43:I43"/>
    <mergeCell ref="A44:D44"/>
    <mergeCell ref="G44:H44"/>
    <mergeCell ref="A45:B45"/>
    <mergeCell ref="G45:H45"/>
  </mergeCells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E5A3-BE37-4212-B396-F4E7518B588F}">
  <dimension ref="A1:K42"/>
  <sheetViews>
    <sheetView rightToLeft="1" topLeftCell="A25" zoomScaleNormal="100" workbookViewId="0">
      <selection activeCell="C23" sqref="C23"/>
    </sheetView>
  </sheetViews>
  <sheetFormatPr defaultColWidth="8.58203125" defaultRowHeight="14" x14ac:dyDescent="0.3"/>
  <cols>
    <col min="1" max="1" width="25.58203125" style="164" customWidth="1"/>
    <col min="2" max="3" width="20.58203125" style="164" customWidth="1"/>
    <col min="4" max="4" width="15.58203125" style="164" customWidth="1"/>
    <col min="5" max="5" width="77.5" style="164" customWidth="1"/>
    <col min="6" max="16384" width="8.58203125" style="164"/>
  </cols>
  <sheetData>
    <row r="1" spans="1:11" ht="13.75" customHeight="1" thickBot="1" x14ac:dyDescent="0.35"/>
    <row r="2" spans="1:11" ht="35.15" customHeight="1" thickTop="1" thickBot="1" x14ac:dyDescent="0.6">
      <c r="A2" s="230" t="s">
        <v>2</v>
      </c>
      <c r="B2" s="231"/>
      <c r="C2" s="231"/>
      <c r="D2" s="231"/>
      <c r="E2" s="232"/>
      <c r="F2" s="165"/>
      <c r="G2" s="165"/>
      <c r="H2" s="166"/>
      <c r="I2" s="167"/>
    </row>
    <row r="3" spans="1:11" ht="13.75" customHeight="1" thickTop="1" thickBot="1" x14ac:dyDescent="0.4">
      <c r="A3" s="168"/>
      <c r="B3" s="169"/>
      <c r="C3" s="169"/>
      <c r="D3" s="169"/>
      <c r="E3" s="169"/>
      <c r="F3" s="170"/>
      <c r="G3" s="170"/>
      <c r="H3" s="170"/>
      <c r="I3" s="171"/>
    </row>
    <row r="4" spans="1:11" ht="35.15" customHeight="1" thickTop="1" thickBot="1" x14ac:dyDescent="0.4">
      <c r="A4" s="233" t="s">
        <v>358</v>
      </c>
      <c r="B4" s="234"/>
      <c r="C4" s="234"/>
      <c r="D4" s="234"/>
      <c r="E4" s="235"/>
      <c r="F4" s="170"/>
      <c r="G4" s="170"/>
      <c r="H4" s="170"/>
      <c r="I4" s="171"/>
    </row>
    <row r="5" spans="1:11" ht="50.15" customHeight="1" thickTop="1" thickBot="1" x14ac:dyDescent="0.4">
      <c r="A5" s="172" t="s">
        <v>3</v>
      </c>
      <c r="B5" s="173" t="s">
        <v>15</v>
      </c>
      <c r="C5" s="236" t="s">
        <v>13</v>
      </c>
      <c r="D5" s="237"/>
      <c r="E5" s="174" t="s">
        <v>14</v>
      </c>
      <c r="F5" s="170"/>
      <c r="G5" s="170"/>
      <c r="H5" s="170"/>
      <c r="I5" s="171"/>
    </row>
    <row r="6" spans="1:11" ht="30" customHeight="1" thickTop="1" thickBot="1" x14ac:dyDescent="0.4">
      <c r="A6" s="175" t="s">
        <v>42</v>
      </c>
      <c r="B6" s="175" t="s">
        <v>33</v>
      </c>
      <c r="C6" s="238">
        <v>46082</v>
      </c>
      <c r="D6" s="239"/>
      <c r="E6" s="175" t="s">
        <v>2</v>
      </c>
      <c r="F6" s="170"/>
      <c r="G6" s="170"/>
      <c r="H6" s="170"/>
      <c r="I6" s="171"/>
    </row>
    <row r="7" spans="1:11" ht="30" customHeight="1" thickTop="1" thickBot="1" x14ac:dyDescent="0.4">
      <c r="A7" s="175" t="s">
        <v>4</v>
      </c>
      <c r="B7" s="175" t="s">
        <v>5</v>
      </c>
      <c r="C7" s="240"/>
      <c r="D7" s="241"/>
      <c r="E7" s="176" t="s">
        <v>359</v>
      </c>
      <c r="F7" s="170"/>
      <c r="G7" s="170"/>
      <c r="H7" s="170"/>
      <c r="I7" s="171"/>
    </row>
    <row r="8" spans="1:11" ht="13.75" customHeight="1" thickTop="1" x14ac:dyDescent="0.35">
      <c r="A8" s="177"/>
      <c r="B8" s="178"/>
      <c r="C8" s="178"/>
      <c r="D8" s="178"/>
      <c r="E8" s="178"/>
      <c r="F8" s="170"/>
      <c r="G8" s="170"/>
      <c r="H8" s="170"/>
      <c r="I8" s="171"/>
    </row>
    <row r="9" spans="1:11" ht="13.75" customHeight="1" thickBot="1" x14ac:dyDescent="0.4">
      <c r="A9" s="179"/>
      <c r="B9" s="170"/>
      <c r="C9" s="170"/>
      <c r="D9" s="170"/>
      <c r="E9" s="170"/>
      <c r="F9" s="170"/>
      <c r="G9" s="170"/>
      <c r="H9" s="170"/>
      <c r="I9" s="171"/>
    </row>
    <row r="10" spans="1:11" ht="35.15" customHeight="1" thickTop="1" thickBot="1" x14ac:dyDescent="0.4">
      <c r="A10" s="219" t="s">
        <v>0</v>
      </c>
      <c r="B10" s="220" t="s">
        <v>6</v>
      </c>
      <c r="C10" s="221" t="s">
        <v>9</v>
      </c>
      <c r="D10" s="220" t="s">
        <v>35</v>
      </c>
      <c r="E10" s="222" t="s">
        <v>10</v>
      </c>
      <c r="F10" s="170"/>
      <c r="G10" s="170"/>
      <c r="H10" s="170"/>
      <c r="I10" s="171"/>
      <c r="K10" s="164" t="s">
        <v>51</v>
      </c>
    </row>
    <row r="11" spans="1:11" ht="35.15" customHeight="1" thickTop="1" x14ac:dyDescent="0.35">
      <c r="A11" s="399">
        <v>46086</v>
      </c>
      <c r="B11" s="400" t="s">
        <v>8</v>
      </c>
      <c r="C11" s="223">
        <v>3</v>
      </c>
      <c r="D11" s="223" t="s">
        <v>37</v>
      </c>
      <c r="E11" s="158" t="s">
        <v>367</v>
      </c>
      <c r="F11" s="170"/>
      <c r="G11" s="170"/>
      <c r="H11" s="170"/>
      <c r="I11" s="171"/>
    </row>
    <row r="12" spans="1:11" ht="35.15" customHeight="1" x14ac:dyDescent="0.35">
      <c r="A12" s="225"/>
      <c r="B12" s="227"/>
      <c r="C12" s="189">
        <v>2</v>
      </c>
      <c r="D12" s="189" t="s">
        <v>37</v>
      </c>
      <c r="E12" s="215" t="s">
        <v>377</v>
      </c>
      <c r="F12" s="170"/>
      <c r="G12" s="170"/>
      <c r="H12" s="170"/>
      <c r="I12" s="171"/>
    </row>
    <row r="13" spans="1:11" ht="35.15" customHeight="1" x14ac:dyDescent="0.35">
      <c r="A13" s="244"/>
      <c r="B13" s="245"/>
      <c r="C13" s="185">
        <v>2</v>
      </c>
      <c r="D13" s="185" t="s">
        <v>37</v>
      </c>
      <c r="E13" s="215" t="s">
        <v>360</v>
      </c>
      <c r="F13" s="170"/>
      <c r="G13" s="170"/>
      <c r="H13" s="170"/>
      <c r="I13" s="171"/>
    </row>
    <row r="14" spans="1:11" ht="35.15" customHeight="1" x14ac:dyDescent="0.35">
      <c r="A14" s="228">
        <v>46089</v>
      </c>
      <c r="B14" s="226" t="s">
        <v>17</v>
      </c>
      <c r="C14" s="185">
        <v>2</v>
      </c>
      <c r="D14" s="185" t="s">
        <v>37</v>
      </c>
      <c r="E14" s="215" t="s">
        <v>361</v>
      </c>
      <c r="F14" s="170"/>
      <c r="G14" s="170"/>
      <c r="H14" s="170"/>
      <c r="I14" s="171"/>
    </row>
    <row r="15" spans="1:11" ht="35.15" customHeight="1" x14ac:dyDescent="0.35">
      <c r="A15" s="225"/>
      <c r="B15" s="227"/>
      <c r="C15" s="185">
        <v>2</v>
      </c>
      <c r="D15" s="185" t="s">
        <v>37</v>
      </c>
      <c r="E15" s="215" t="s">
        <v>362</v>
      </c>
      <c r="F15" s="170"/>
      <c r="G15" s="170"/>
      <c r="H15" s="170"/>
      <c r="I15" s="171"/>
    </row>
    <row r="16" spans="1:11" ht="50" customHeight="1" x14ac:dyDescent="0.35">
      <c r="A16" s="184">
        <v>46090</v>
      </c>
      <c r="B16" s="185" t="s">
        <v>34</v>
      </c>
      <c r="C16" s="185">
        <v>2</v>
      </c>
      <c r="D16" s="185" t="s">
        <v>37</v>
      </c>
      <c r="E16" s="137" t="s">
        <v>363</v>
      </c>
      <c r="F16" s="170"/>
      <c r="G16" s="170"/>
      <c r="H16" s="170"/>
      <c r="I16" s="171"/>
    </row>
    <row r="17" spans="1:9" ht="35.15" customHeight="1" x14ac:dyDescent="0.35">
      <c r="A17" s="184">
        <v>46091</v>
      </c>
      <c r="B17" s="185" t="s">
        <v>40</v>
      </c>
      <c r="C17" s="185">
        <v>2</v>
      </c>
      <c r="D17" s="185" t="s">
        <v>37</v>
      </c>
      <c r="E17" s="137" t="s">
        <v>364</v>
      </c>
      <c r="F17" s="170"/>
      <c r="G17" s="170"/>
      <c r="H17" s="170"/>
      <c r="I17" s="171"/>
    </row>
    <row r="18" spans="1:9" ht="35.15" customHeight="1" x14ac:dyDescent="0.35">
      <c r="A18" s="218">
        <v>46092</v>
      </c>
      <c r="B18" s="189" t="s">
        <v>7</v>
      </c>
      <c r="C18" s="189">
        <v>3</v>
      </c>
      <c r="D18" s="189" t="s">
        <v>37</v>
      </c>
      <c r="E18" s="216" t="s">
        <v>365</v>
      </c>
      <c r="F18" s="170"/>
      <c r="G18" s="170"/>
      <c r="H18" s="170"/>
      <c r="I18" s="171"/>
    </row>
    <row r="19" spans="1:9" ht="35.15" customHeight="1" x14ac:dyDescent="0.35">
      <c r="A19" s="218">
        <v>46100</v>
      </c>
      <c r="B19" s="189" t="s">
        <v>8</v>
      </c>
      <c r="C19" s="189">
        <v>3</v>
      </c>
      <c r="D19" s="189" t="s">
        <v>37</v>
      </c>
      <c r="E19" s="216" t="s">
        <v>369</v>
      </c>
      <c r="F19" s="170"/>
      <c r="G19" s="170"/>
      <c r="H19" s="170"/>
      <c r="I19" s="171"/>
    </row>
    <row r="20" spans="1:9" ht="35.15" customHeight="1" x14ac:dyDescent="0.35">
      <c r="A20" s="244">
        <v>46103</v>
      </c>
      <c r="B20" s="245" t="s">
        <v>17</v>
      </c>
      <c r="C20" s="185">
        <v>2</v>
      </c>
      <c r="D20" s="185" t="s">
        <v>37</v>
      </c>
      <c r="E20" s="215" t="s">
        <v>370</v>
      </c>
      <c r="F20" s="170"/>
      <c r="G20" s="170"/>
      <c r="H20" s="170"/>
      <c r="I20" s="171"/>
    </row>
    <row r="21" spans="1:9" ht="35.15" customHeight="1" x14ac:dyDescent="0.35">
      <c r="A21" s="244"/>
      <c r="B21" s="245"/>
      <c r="C21" s="185">
        <v>2</v>
      </c>
      <c r="D21" s="185" t="s">
        <v>37</v>
      </c>
      <c r="E21" s="215" t="s">
        <v>366</v>
      </c>
      <c r="F21" s="170"/>
      <c r="G21" s="170"/>
      <c r="H21" s="170"/>
      <c r="I21" s="171"/>
    </row>
    <row r="22" spans="1:9" ht="35.15" customHeight="1" x14ac:dyDescent="0.35">
      <c r="A22" s="184">
        <v>46104</v>
      </c>
      <c r="B22" s="185" t="s">
        <v>34</v>
      </c>
      <c r="C22" s="185">
        <v>4</v>
      </c>
      <c r="D22" s="185" t="s">
        <v>37</v>
      </c>
      <c r="E22" s="215" t="s">
        <v>371</v>
      </c>
      <c r="F22" s="170"/>
      <c r="G22" s="170"/>
      <c r="H22" s="170"/>
      <c r="I22" s="171"/>
    </row>
    <row r="23" spans="1:9" ht="35.15" customHeight="1" x14ac:dyDescent="0.35">
      <c r="A23" s="224">
        <v>46111</v>
      </c>
      <c r="B23" s="226" t="s">
        <v>34</v>
      </c>
      <c r="C23" s="189">
        <v>2</v>
      </c>
      <c r="D23" s="189" t="s">
        <v>37</v>
      </c>
      <c r="E23" s="216" t="s">
        <v>372</v>
      </c>
      <c r="F23" s="170"/>
      <c r="G23" s="170"/>
      <c r="H23" s="170"/>
      <c r="I23" s="171"/>
    </row>
    <row r="24" spans="1:9" ht="35.15" customHeight="1" x14ac:dyDescent="0.35">
      <c r="A24" s="225"/>
      <c r="B24" s="227"/>
      <c r="C24" s="189">
        <v>1</v>
      </c>
      <c r="D24" s="189" t="s">
        <v>37</v>
      </c>
      <c r="E24" s="137" t="s">
        <v>374</v>
      </c>
      <c r="F24" s="170"/>
      <c r="G24" s="170"/>
      <c r="H24" s="170"/>
      <c r="I24" s="171"/>
    </row>
    <row r="25" spans="1:9" ht="35.15" customHeight="1" thickBot="1" x14ac:dyDescent="0.55000000000000004">
      <c r="A25" s="250" t="s">
        <v>1</v>
      </c>
      <c r="B25" s="251"/>
      <c r="C25" s="190">
        <f>SUM(C11:C24)</f>
        <v>32</v>
      </c>
      <c r="D25" s="190">
        <f>+'פברואר  2026 '!E31</f>
        <v>760</v>
      </c>
      <c r="E25" s="191">
        <f>D25-C25</f>
        <v>728</v>
      </c>
      <c r="F25" s="170"/>
      <c r="G25" s="170"/>
      <c r="H25" s="170"/>
      <c r="I25" s="171"/>
    </row>
    <row r="26" spans="1:9" ht="13.75" customHeight="1" thickTop="1" x14ac:dyDescent="0.35">
      <c r="A26" s="179"/>
      <c r="B26" s="170"/>
      <c r="C26" s="170"/>
      <c r="D26" s="170"/>
      <c r="E26" s="170"/>
      <c r="F26" s="170"/>
      <c r="G26" s="170"/>
      <c r="H26" s="170"/>
      <c r="I26" s="171"/>
    </row>
    <row r="27" spans="1:9" ht="13.75" customHeight="1" thickBot="1" x14ac:dyDescent="0.4">
      <c r="A27" s="179"/>
      <c r="B27" s="170"/>
      <c r="C27" s="170"/>
      <c r="D27" s="170"/>
      <c r="E27" s="170"/>
      <c r="F27" s="170"/>
      <c r="G27" s="170"/>
      <c r="H27" s="170"/>
      <c r="I27" s="171"/>
    </row>
    <row r="28" spans="1:9" ht="30" customHeight="1" thickTop="1" x14ac:dyDescent="0.4">
      <c r="A28" s="252" t="s">
        <v>18</v>
      </c>
      <c r="B28" s="253"/>
      <c r="C28" s="192"/>
      <c r="D28" s="193">
        <v>32</v>
      </c>
      <c r="F28" s="195"/>
      <c r="G28" s="178"/>
      <c r="H28" s="178"/>
      <c r="I28" s="196"/>
    </row>
    <row r="29" spans="1:9" ht="30" customHeight="1" x14ac:dyDescent="0.4">
      <c r="A29" s="254" t="s">
        <v>19</v>
      </c>
      <c r="B29" s="255"/>
      <c r="C29" s="197"/>
      <c r="D29" s="198"/>
      <c r="E29" s="199"/>
      <c r="F29" s="200"/>
      <c r="G29" s="178"/>
      <c r="H29" s="178"/>
      <c r="I29" s="196"/>
    </row>
    <row r="30" spans="1:9" ht="30" customHeight="1" x14ac:dyDescent="0.4">
      <c r="A30" s="254" t="s">
        <v>20</v>
      </c>
      <c r="B30" s="255"/>
      <c r="C30" s="197"/>
      <c r="D30" s="198"/>
      <c r="E30" s="199"/>
      <c r="F30" s="200"/>
      <c r="G30" s="178"/>
      <c r="H30" s="178"/>
      <c r="I30" s="196"/>
    </row>
    <row r="31" spans="1:9" ht="30" customHeight="1" thickBot="1" x14ac:dyDescent="0.45">
      <c r="A31" s="256" t="s">
        <v>21</v>
      </c>
      <c r="B31" s="257"/>
      <c r="C31" s="201"/>
      <c r="D31" s="202"/>
      <c r="E31" s="199"/>
      <c r="F31" s="200"/>
      <c r="G31" s="178"/>
      <c r="H31" s="178"/>
      <c r="I31" s="196"/>
    </row>
    <row r="32" spans="1:9" ht="30" customHeight="1" thickTop="1" thickBot="1" x14ac:dyDescent="0.45">
      <c r="A32" s="258" t="s">
        <v>20</v>
      </c>
      <c r="B32" s="259"/>
      <c r="C32" s="203"/>
      <c r="D32" s="204">
        <f>D31+D30</f>
        <v>0</v>
      </c>
      <c r="E32" s="199"/>
      <c r="F32" s="195"/>
      <c r="G32" s="178"/>
      <c r="H32" s="178"/>
      <c r="I32" s="196"/>
    </row>
    <row r="33" spans="1:9" ht="13.75" customHeight="1" thickTop="1" thickBot="1" x14ac:dyDescent="0.5">
      <c r="A33" s="205"/>
      <c r="B33" s="206"/>
      <c r="C33" s="206"/>
      <c r="D33" s="206"/>
      <c r="E33" s="206"/>
      <c r="F33" s="206"/>
      <c r="G33" s="206"/>
      <c r="H33" s="206"/>
      <c r="I33" s="207"/>
    </row>
    <row r="34" spans="1:9" ht="25" customHeight="1" thickTop="1" thickBot="1" x14ac:dyDescent="0.45">
      <c r="A34" s="260" t="s">
        <v>22</v>
      </c>
      <c r="B34" s="261"/>
      <c r="C34" s="261"/>
      <c r="D34" s="261"/>
      <c r="E34" s="261"/>
      <c r="F34" s="261"/>
      <c r="G34" s="261"/>
      <c r="H34" s="261"/>
      <c r="I34" s="262"/>
    </row>
    <row r="35" spans="1:9" ht="25" customHeight="1" thickTop="1" thickBot="1" x14ac:dyDescent="0.65">
      <c r="A35" s="246" t="s">
        <v>23</v>
      </c>
      <c r="B35" s="247"/>
      <c r="C35" s="208"/>
      <c r="D35" s="209"/>
      <c r="E35" s="210"/>
      <c r="F35" s="211"/>
      <c r="G35" s="194" t="s">
        <v>24</v>
      </c>
      <c r="H35" s="248">
        <v>46112</v>
      </c>
      <c r="I35" s="249"/>
    </row>
    <row r="36" spans="1:9" ht="25" customHeight="1" thickTop="1" thickBot="1" x14ac:dyDescent="0.65">
      <c r="A36" s="263" t="s">
        <v>25</v>
      </c>
      <c r="B36" s="264"/>
      <c r="C36" s="195"/>
      <c r="D36" s="269" t="s">
        <v>26</v>
      </c>
      <c r="E36" s="269"/>
      <c r="F36" s="269"/>
      <c r="G36" s="269"/>
      <c r="H36" s="269"/>
      <c r="I36" s="196"/>
    </row>
    <row r="37" spans="1:9" ht="50" customHeight="1" thickTop="1" x14ac:dyDescent="0.4">
      <c r="A37" s="270" t="s">
        <v>27</v>
      </c>
      <c r="B37" s="271"/>
      <c r="C37" s="271"/>
      <c r="D37" s="271"/>
      <c r="E37" s="271"/>
      <c r="F37" s="211"/>
      <c r="G37" s="271" t="s">
        <v>28</v>
      </c>
      <c r="H37" s="271"/>
      <c r="I37" s="272"/>
    </row>
    <row r="38" spans="1:9" ht="25" customHeight="1" thickBot="1" x14ac:dyDescent="0.45">
      <c r="A38" s="270" t="s">
        <v>29</v>
      </c>
      <c r="B38" s="271"/>
      <c r="C38" s="271"/>
      <c r="D38" s="271"/>
      <c r="E38" s="194" t="s">
        <v>30</v>
      </c>
      <c r="F38" s="194"/>
      <c r="G38" s="273"/>
      <c r="H38" s="273"/>
      <c r="I38" s="212"/>
    </row>
    <row r="39" spans="1:9" ht="25" customHeight="1" thickTop="1" thickBot="1" x14ac:dyDescent="0.45">
      <c r="A39" s="263" t="s">
        <v>30</v>
      </c>
      <c r="B39" s="264"/>
      <c r="C39" s="195"/>
      <c r="D39" s="213"/>
      <c r="E39" s="194" t="s">
        <v>31</v>
      </c>
      <c r="F39" s="194"/>
      <c r="G39" s="265"/>
      <c r="H39" s="265"/>
      <c r="I39" s="196"/>
    </row>
    <row r="40" spans="1:9" ht="25" customHeight="1" thickTop="1" thickBot="1" x14ac:dyDescent="0.45">
      <c r="A40" s="263" t="s">
        <v>23</v>
      </c>
      <c r="B40" s="264"/>
      <c r="C40" s="195"/>
      <c r="D40" s="213"/>
      <c r="E40" s="194" t="s">
        <v>23</v>
      </c>
      <c r="F40" s="194"/>
      <c r="G40" s="213"/>
      <c r="H40" s="194" t="s">
        <v>0</v>
      </c>
      <c r="I40" s="214"/>
    </row>
    <row r="41" spans="1:9" ht="25" customHeight="1" thickTop="1" thickBot="1" x14ac:dyDescent="0.45">
      <c r="A41" s="266" t="s">
        <v>52</v>
      </c>
      <c r="B41" s="267"/>
      <c r="C41" s="267"/>
      <c r="D41" s="267"/>
      <c r="E41" s="267"/>
      <c r="F41" s="267"/>
      <c r="G41" s="267"/>
      <c r="H41" s="267"/>
      <c r="I41" s="268"/>
    </row>
    <row r="42" spans="1:9" ht="14.5" customHeight="1" thickTop="1" x14ac:dyDescent="0.35">
      <c r="A42" s="170"/>
      <c r="B42" s="170"/>
      <c r="C42" s="170"/>
      <c r="D42" s="170"/>
      <c r="E42" s="170"/>
      <c r="F42" s="170"/>
      <c r="G42" s="170"/>
      <c r="H42" s="170"/>
      <c r="I42" s="170"/>
    </row>
  </sheetData>
  <mergeCells count="31">
    <mergeCell ref="A2:E2"/>
    <mergeCell ref="A4:E4"/>
    <mergeCell ref="C5:D5"/>
    <mergeCell ref="C6:D7"/>
    <mergeCell ref="A11:A13"/>
    <mergeCell ref="B11:B13"/>
    <mergeCell ref="A41:I41"/>
    <mergeCell ref="A36:B36"/>
    <mergeCell ref="D36:H36"/>
    <mergeCell ref="A37:E37"/>
    <mergeCell ref="G37:I37"/>
    <mergeCell ref="A38:D38"/>
    <mergeCell ref="G38:H38"/>
    <mergeCell ref="A40:B40"/>
    <mergeCell ref="A39:B39"/>
    <mergeCell ref="G39:H39"/>
    <mergeCell ref="A35:B35"/>
    <mergeCell ref="H35:I35"/>
    <mergeCell ref="A14:A15"/>
    <mergeCell ref="B14:B15"/>
    <mergeCell ref="A25:B25"/>
    <mergeCell ref="A28:B28"/>
    <mergeCell ref="A20:A21"/>
    <mergeCell ref="B20:B21"/>
    <mergeCell ref="A23:A24"/>
    <mergeCell ref="B23:B24"/>
    <mergeCell ref="A29:B29"/>
    <mergeCell ref="A30:B30"/>
    <mergeCell ref="A31:B31"/>
    <mergeCell ref="A32:B32"/>
    <mergeCell ref="A34:I34"/>
  </mergeCells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56"/>
  <sheetViews>
    <sheetView rightToLeft="1" tabSelected="1" topLeftCell="A16" zoomScaleNormal="100" workbookViewId="0">
      <selection activeCell="E13" sqref="E13"/>
    </sheetView>
  </sheetViews>
  <sheetFormatPr defaultColWidth="8.58203125" defaultRowHeight="14" x14ac:dyDescent="0.3"/>
  <cols>
    <col min="1" max="1" width="25.58203125" style="164" customWidth="1"/>
    <col min="2" max="3" width="20.58203125" style="164" customWidth="1"/>
    <col min="4" max="4" width="15.58203125" style="164" customWidth="1"/>
    <col min="5" max="5" width="77.5" style="164" customWidth="1"/>
    <col min="6" max="16384" width="8.58203125" style="164"/>
  </cols>
  <sheetData>
    <row r="1" spans="1:11" ht="13.75" customHeight="1" thickBot="1" x14ac:dyDescent="0.35"/>
    <row r="2" spans="1:11" ht="35.15" customHeight="1" thickTop="1" thickBot="1" x14ac:dyDescent="0.6">
      <c r="A2" s="230" t="s">
        <v>2</v>
      </c>
      <c r="B2" s="231"/>
      <c r="C2" s="231"/>
      <c r="D2" s="231"/>
      <c r="E2" s="232"/>
      <c r="F2" s="165"/>
      <c r="G2" s="165"/>
      <c r="H2" s="166"/>
      <c r="I2" s="167"/>
    </row>
    <row r="3" spans="1:11" ht="13.75" customHeight="1" thickTop="1" thickBot="1" x14ac:dyDescent="0.4">
      <c r="A3" s="168"/>
      <c r="B3" s="169"/>
      <c r="C3" s="169"/>
      <c r="D3" s="169"/>
      <c r="E3" s="169"/>
      <c r="F3" s="170"/>
      <c r="G3" s="170"/>
      <c r="H3" s="170"/>
      <c r="I3" s="171"/>
    </row>
    <row r="4" spans="1:11" ht="35.15" customHeight="1" thickTop="1" thickBot="1" x14ac:dyDescent="0.4">
      <c r="A4" s="233" t="s">
        <v>354</v>
      </c>
      <c r="B4" s="234"/>
      <c r="C4" s="234"/>
      <c r="D4" s="234"/>
      <c r="E4" s="235"/>
      <c r="F4" s="170"/>
      <c r="G4" s="170"/>
      <c r="H4" s="170"/>
      <c r="I4" s="171"/>
    </row>
    <row r="5" spans="1:11" ht="50.15" customHeight="1" thickTop="1" thickBot="1" x14ac:dyDescent="0.4">
      <c r="A5" s="172" t="s">
        <v>3</v>
      </c>
      <c r="B5" s="173" t="s">
        <v>15</v>
      </c>
      <c r="C5" s="236" t="s">
        <v>13</v>
      </c>
      <c r="D5" s="237"/>
      <c r="E5" s="174" t="s">
        <v>14</v>
      </c>
      <c r="F5" s="170"/>
      <c r="G5" s="170"/>
      <c r="H5" s="170"/>
      <c r="I5" s="171"/>
    </row>
    <row r="6" spans="1:11" ht="30" customHeight="1" thickTop="1" thickBot="1" x14ac:dyDescent="0.4">
      <c r="A6" s="175" t="s">
        <v>42</v>
      </c>
      <c r="B6" s="175" t="s">
        <v>33</v>
      </c>
      <c r="C6" s="238">
        <v>46113</v>
      </c>
      <c r="D6" s="239"/>
      <c r="E6" s="175" t="s">
        <v>2</v>
      </c>
      <c r="F6" s="170"/>
      <c r="G6" s="170"/>
      <c r="H6" s="170"/>
      <c r="I6" s="171"/>
    </row>
    <row r="7" spans="1:11" ht="30" customHeight="1" thickTop="1" thickBot="1" x14ac:dyDescent="0.4">
      <c r="A7" s="175" t="s">
        <v>4</v>
      </c>
      <c r="B7" s="175" t="s">
        <v>5</v>
      </c>
      <c r="C7" s="240"/>
      <c r="D7" s="241"/>
      <c r="E7" s="176" t="s">
        <v>355</v>
      </c>
      <c r="F7" s="170"/>
      <c r="G7" s="170"/>
      <c r="H7" s="170"/>
      <c r="I7" s="171"/>
    </row>
    <row r="8" spans="1:11" ht="13.75" customHeight="1" thickTop="1" x14ac:dyDescent="0.35">
      <c r="A8" s="177"/>
      <c r="B8" s="178"/>
      <c r="C8" s="178"/>
      <c r="D8" s="178"/>
      <c r="E8" s="178"/>
      <c r="F8" s="170"/>
      <c r="G8" s="170"/>
      <c r="H8" s="170"/>
      <c r="I8" s="171"/>
    </row>
    <row r="9" spans="1:11" ht="13.75" customHeight="1" thickBot="1" x14ac:dyDescent="0.4">
      <c r="A9" s="179"/>
      <c r="B9" s="170"/>
      <c r="C9" s="170"/>
      <c r="D9" s="170"/>
      <c r="E9" s="170"/>
      <c r="F9" s="170"/>
      <c r="G9" s="170"/>
      <c r="H9" s="170"/>
      <c r="I9" s="171"/>
    </row>
    <row r="10" spans="1:11" ht="35.15" customHeight="1" thickTop="1" thickBot="1" x14ac:dyDescent="0.4">
      <c r="A10" s="219" t="s">
        <v>0</v>
      </c>
      <c r="B10" s="220" t="s">
        <v>6</v>
      </c>
      <c r="C10" s="221" t="s">
        <v>9</v>
      </c>
      <c r="D10" s="220" t="s">
        <v>35</v>
      </c>
      <c r="E10" s="222" t="s">
        <v>10</v>
      </c>
      <c r="F10" s="170"/>
      <c r="G10" s="170"/>
      <c r="H10" s="170"/>
      <c r="I10" s="171"/>
      <c r="K10" s="164" t="s">
        <v>51</v>
      </c>
    </row>
    <row r="11" spans="1:11" ht="50" customHeight="1" thickTop="1" x14ac:dyDescent="0.35">
      <c r="A11" s="399">
        <v>46117</v>
      </c>
      <c r="B11" s="400" t="s">
        <v>17</v>
      </c>
      <c r="C11" s="223">
        <v>2</v>
      </c>
      <c r="D11" s="189" t="s">
        <v>37</v>
      </c>
      <c r="E11" s="137" t="s">
        <v>368</v>
      </c>
      <c r="F11" s="170"/>
      <c r="G11" s="170"/>
      <c r="H11" s="170"/>
      <c r="I11" s="171"/>
    </row>
    <row r="12" spans="1:11" ht="35.15" customHeight="1" x14ac:dyDescent="0.35">
      <c r="A12" s="244"/>
      <c r="B12" s="245"/>
      <c r="C12" s="185">
        <v>1</v>
      </c>
      <c r="D12" s="185" t="s">
        <v>37</v>
      </c>
      <c r="E12" s="149" t="s">
        <v>375</v>
      </c>
      <c r="F12" s="170"/>
      <c r="G12" s="170"/>
      <c r="H12" s="170"/>
      <c r="I12" s="171"/>
    </row>
    <row r="13" spans="1:11" ht="35" customHeight="1" x14ac:dyDescent="0.35">
      <c r="A13" s="184">
        <v>46118</v>
      </c>
      <c r="B13" s="185" t="s">
        <v>34</v>
      </c>
      <c r="C13" s="185">
        <v>2</v>
      </c>
      <c r="D13" s="185" t="s">
        <v>37</v>
      </c>
      <c r="E13" s="215" t="s">
        <v>373</v>
      </c>
      <c r="F13" s="170"/>
      <c r="G13" s="170"/>
      <c r="H13" s="170"/>
      <c r="I13" s="171"/>
    </row>
    <row r="14" spans="1:11" ht="35" customHeight="1" x14ac:dyDescent="0.35">
      <c r="A14" s="244">
        <v>46124</v>
      </c>
      <c r="B14" s="245" t="s">
        <v>17</v>
      </c>
      <c r="C14" s="185">
        <v>3</v>
      </c>
      <c r="D14" s="185" t="s">
        <v>36</v>
      </c>
      <c r="E14" s="137" t="s">
        <v>376</v>
      </c>
      <c r="F14" s="170"/>
      <c r="G14" s="170"/>
      <c r="H14" s="170"/>
      <c r="I14" s="171"/>
    </row>
    <row r="15" spans="1:11" ht="35.15" customHeight="1" x14ac:dyDescent="0.35">
      <c r="A15" s="244"/>
      <c r="B15" s="245"/>
      <c r="C15" s="185">
        <v>3.5</v>
      </c>
      <c r="D15" s="185" t="s">
        <v>36</v>
      </c>
      <c r="E15" s="215" t="s">
        <v>378</v>
      </c>
      <c r="F15" s="170"/>
      <c r="G15" s="170"/>
      <c r="H15" s="170"/>
      <c r="I15" s="171"/>
    </row>
    <row r="16" spans="1:11" ht="35.15" customHeight="1" x14ac:dyDescent="0.35">
      <c r="A16" s="244">
        <v>46125</v>
      </c>
      <c r="B16" s="245" t="s">
        <v>34</v>
      </c>
      <c r="C16" s="185">
        <v>3</v>
      </c>
      <c r="D16" s="185" t="s">
        <v>37</v>
      </c>
      <c r="E16" s="215" t="s">
        <v>379</v>
      </c>
      <c r="F16" s="170"/>
      <c r="G16" s="170"/>
      <c r="H16" s="170"/>
      <c r="I16" s="171"/>
    </row>
    <row r="17" spans="1:9" ht="35.15" customHeight="1" x14ac:dyDescent="0.35">
      <c r="A17" s="244"/>
      <c r="B17" s="245"/>
      <c r="C17" s="185">
        <v>2.5</v>
      </c>
      <c r="D17" s="185" t="s">
        <v>37</v>
      </c>
      <c r="E17" s="215" t="s">
        <v>384</v>
      </c>
      <c r="F17" s="170"/>
      <c r="G17" s="170"/>
      <c r="H17" s="170"/>
      <c r="I17" s="171"/>
    </row>
    <row r="18" spans="1:9" ht="35.15" customHeight="1" x14ac:dyDescent="0.35">
      <c r="A18" s="244"/>
      <c r="B18" s="245"/>
      <c r="C18" s="185">
        <v>2</v>
      </c>
      <c r="D18" s="185" t="s">
        <v>37</v>
      </c>
      <c r="E18" s="215" t="s">
        <v>380</v>
      </c>
      <c r="F18" s="170"/>
      <c r="G18" s="170"/>
      <c r="H18" s="170"/>
      <c r="I18" s="171"/>
    </row>
    <row r="19" spans="1:9" ht="35.15" customHeight="1" x14ac:dyDescent="0.35">
      <c r="A19" s="244">
        <v>46126</v>
      </c>
      <c r="B19" s="245" t="s">
        <v>40</v>
      </c>
      <c r="C19" s="185">
        <v>2</v>
      </c>
      <c r="D19" s="185" t="s">
        <v>37</v>
      </c>
      <c r="E19" s="215" t="s">
        <v>385</v>
      </c>
      <c r="F19" s="170"/>
      <c r="G19" s="170"/>
      <c r="H19" s="170"/>
      <c r="I19" s="171"/>
    </row>
    <row r="20" spans="1:9" ht="35.15" customHeight="1" x14ac:dyDescent="0.35">
      <c r="A20" s="244"/>
      <c r="B20" s="245"/>
      <c r="C20" s="185">
        <v>2</v>
      </c>
      <c r="D20" s="185" t="s">
        <v>37</v>
      </c>
      <c r="E20" s="215" t="s">
        <v>383</v>
      </c>
      <c r="F20" s="170"/>
      <c r="G20" s="170"/>
      <c r="H20" s="170"/>
      <c r="I20" s="171"/>
    </row>
    <row r="21" spans="1:9" ht="35.15" customHeight="1" x14ac:dyDescent="0.35">
      <c r="A21" s="244"/>
      <c r="B21" s="245"/>
      <c r="C21" s="185">
        <v>3</v>
      </c>
      <c r="D21" s="185" t="s">
        <v>37</v>
      </c>
      <c r="E21" s="215" t="s">
        <v>386</v>
      </c>
      <c r="F21" s="170"/>
      <c r="G21" s="170"/>
      <c r="H21" s="170"/>
      <c r="I21" s="171"/>
    </row>
    <row r="22" spans="1:9" ht="35.15" customHeight="1" x14ac:dyDescent="0.35">
      <c r="A22" s="244">
        <v>46128</v>
      </c>
      <c r="B22" s="245" t="s">
        <v>8</v>
      </c>
      <c r="C22" s="185">
        <v>3</v>
      </c>
      <c r="D22" s="189" t="s">
        <v>37</v>
      </c>
      <c r="E22" s="215" t="s">
        <v>387</v>
      </c>
      <c r="F22" s="170"/>
      <c r="G22" s="170"/>
      <c r="H22" s="170"/>
      <c r="I22" s="171"/>
    </row>
    <row r="23" spans="1:9" ht="35.15" customHeight="1" x14ac:dyDescent="0.35">
      <c r="A23" s="244"/>
      <c r="B23" s="245"/>
      <c r="C23" s="185">
        <v>3</v>
      </c>
      <c r="D23" s="189" t="s">
        <v>37</v>
      </c>
      <c r="E23" s="215" t="s">
        <v>388</v>
      </c>
      <c r="F23" s="170"/>
      <c r="G23" s="170"/>
      <c r="H23" s="170"/>
      <c r="I23" s="171"/>
    </row>
    <row r="24" spans="1:9" ht="35.15" customHeight="1" x14ac:dyDescent="0.35">
      <c r="A24" s="184">
        <v>46131</v>
      </c>
      <c r="B24" s="185" t="s">
        <v>17</v>
      </c>
      <c r="C24" s="185">
        <v>4</v>
      </c>
      <c r="D24" s="185" t="s">
        <v>37</v>
      </c>
      <c r="E24" s="215" t="s">
        <v>389</v>
      </c>
      <c r="F24" s="170"/>
      <c r="G24" s="170"/>
      <c r="H24" s="170"/>
      <c r="I24" s="171"/>
    </row>
    <row r="25" spans="1:9" ht="35.15" customHeight="1" x14ac:dyDescent="0.35">
      <c r="A25" s="244">
        <v>46132</v>
      </c>
      <c r="B25" s="245" t="s">
        <v>34</v>
      </c>
      <c r="C25" s="185">
        <v>2</v>
      </c>
      <c r="D25" s="185" t="s">
        <v>36</v>
      </c>
      <c r="E25" s="215" t="s">
        <v>390</v>
      </c>
      <c r="F25" s="170"/>
      <c r="G25" s="170"/>
      <c r="H25" s="170"/>
      <c r="I25" s="171"/>
    </row>
    <row r="26" spans="1:9" ht="35.15" customHeight="1" x14ac:dyDescent="0.35">
      <c r="A26" s="244"/>
      <c r="B26" s="245"/>
      <c r="C26" s="185">
        <v>2.5</v>
      </c>
      <c r="D26" s="185" t="s">
        <v>36</v>
      </c>
      <c r="E26" s="215" t="s">
        <v>391</v>
      </c>
      <c r="F26" s="170"/>
      <c r="G26" s="170"/>
      <c r="H26" s="170"/>
      <c r="I26" s="171"/>
    </row>
    <row r="27" spans="1:9" ht="35.15" customHeight="1" x14ac:dyDescent="0.35">
      <c r="A27" s="244"/>
      <c r="B27" s="245"/>
      <c r="C27" s="185">
        <v>3</v>
      </c>
      <c r="D27" s="185" t="s">
        <v>36</v>
      </c>
      <c r="E27" s="215" t="s">
        <v>387</v>
      </c>
      <c r="F27" s="170"/>
      <c r="G27" s="170"/>
      <c r="H27" s="170"/>
      <c r="I27" s="171"/>
    </row>
    <row r="28" spans="1:9" ht="35.15" customHeight="1" x14ac:dyDescent="0.35">
      <c r="A28" s="244">
        <v>46133</v>
      </c>
      <c r="B28" s="245" t="s">
        <v>40</v>
      </c>
      <c r="C28" s="185">
        <v>2</v>
      </c>
      <c r="D28" s="185" t="s">
        <v>37</v>
      </c>
      <c r="E28" s="215" t="s">
        <v>392</v>
      </c>
      <c r="F28" s="170"/>
      <c r="G28" s="170"/>
      <c r="H28" s="170"/>
      <c r="I28" s="171"/>
    </row>
    <row r="29" spans="1:9" ht="35.15" customHeight="1" x14ac:dyDescent="0.35">
      <c r="A29" s="244"/>
      <c r="B29" s="245"/>
      <c r="C29" s="185">
        <v>2</v>
      </c>
      <c r="D29" s="185" t="s">
        <v>37</v>
      </c>
      <c r="E29" s="215" t="s">
        <v>393</v>
      </c>
      <c r="F29" s="170"/>
      <c r="G29" s="170"/>
      <c r="H29" s="170"/>
      <c r="I29" s="171"/>
    </row>
    <row r="30" spans="1:9" ht="35.15" customHeight="1" x14ac:dyDescent="0.35">
      <c r="A30" s="244"/>
      <c r="B30" s="245"/>
      <c r="C30" s="185">
        <v>2</v>
      </c>
      <c r="D30" s="185" t="s">
        <v>37</v>
      </c>
      <c r="E30" s="137" t="s">
        <v>395</v>
      </c>
      <c r="F30" s="170"/>
      <c r="G30" s="170"/>
      <c r="H30" s="170"/>
      <c r="I30" s="171"/>
    </row>
    <row r="31" spans="1:9" ht="35" customHeight="1" x14ac:dyDescent="0.35">
      <c r="A31" s="244">
        <v>46135</v>
      </c>
      <c r="B31" s="245" t="s">
        <v>8</v>
      </c>
      <c r="C31" s="185">
        <v>1</v>
      </c>
      <c r="D31" s="185" t="s">
        <v>37</v>
      </c>
      <c r="E31" s="215" t="s">
        <v>394</v>
      </c>
      <c r="F31" s="170"/>
      <c r="G31" s="170"/>
      <c r="H31" s="170"/>
      <c r="I31" s="171"/>
    </row>
    <row r="32" spans="1:9" ht="35" customHeight="1" x14ac:dyDescent="0.35">
      <c r="A32" s="244"/>
      <c r="B32" s="245"/>
      <c r="C32" s="185">
        <v>6</v>
      </c>
      <c r="D32" s="185" t="s">
        <v>37</v>
      </c>
      <c r="E32" s="149" t="s">
        <v>402</v>
      </c>
      <c r="F32" s="170"/>
      <c r="G32" s="170"/>
      <c r="H32" s="170"/>
      <c r="I32" s="171"/>
    </row>
    <row r="33" spans="1:9" ht="35" customHeight="1" x14ac:dyDescent="0.35">
      <c r="A33" s="244">
        <v>46138</v>
      </c>
      <c r="B33" s="245" t="s">
        <v>17</v>
      </c>
      <c r="C33" s="185">
        <v>2</v>
      </c>
      <c r="D33" s="185" t="s">
        <v>36</v>
      </c>
      <c r="E33" s="137" t="s">
        <v>396</v>
      </c>
      <c r="F33" s="170"/>
      <c r="G33" s="170"/>
      <c r="H33" s="170"/>
      <c r="I33" s="171"/>
    </row>
    <row r="34" spans="1:9" ht="35" customHeight="1" x14ac:dyDescent="0.35">
      <c r="A34" s="244"/>
      <c r="B34" s="245"/>
      <c r="C34" s="185">
        <v>2</v>
      </c>
      <c r="D34" s="185" t="s">
        <v>36</v>
      </c>
      <c r="E34" s="215" t="s">
        <v>397</v>
      </c>
      <c r="F34" s="170"/>
      <c r="G34" s="170"/>
      <c r="H34" s="170"/>
      <c r="I34" s="171"/>
    </row>
    <row r="35" spans="1:9" ht="35" customHeight="1" x14ac:dyDescent="0.35">
      <c r="A35" s="244"/>
      <c r="B35" s="245"/>
      <c r="C35" s="185">
        <v>3</v>
      </c>
      <c r="D35" s="185" t="s">
        <v>36</v>
      </c>
      <c r="E35" s="215" t="s">
        <v>399</v>
      </c>
      <c r="F35" s="170"/>
      <c r="G35" s="170"/>
      <c r="H35" s="170"/>
      <c r="I35" s="171"/>
    </row>
    <row r="36" spans="1:9" ht="35" customHeight="1" x14ac:dyDescent="0.35">
      <c r="A36" s="184">
        <v>46141</v>
      </c>
      <c r="B36" s="185" t="s">
        <v>7</v>
      </c>
      <c r="C36" s="185">
        <v>2</v>
      </c>
      <c r="D36" s="185" t="s">
        <v>37</v>
      </c>
      <c r="E36" s="215" t="s">
        <v>398</v>
      </c>
      <c r="F36" s="170"/>
      <c r="G36" s="170"/>
      <c r="H36" s="170"/>
      <c r="I36" s="171"/>
    </row>
    <row r="37" spans="1:9" ht="35" customHeight="1" x14ac:dyDescent="0.35">
      <c r="A37" s="244">
        <v>46142</v>
      </c>
      <c r="B37" s="245" t="s">
        <v>8</v>
      </c>
      <c r="C37" s="185">
        <v>3.5</v>
      </c>
      <c r="D37" s="185" t="s">
        <v>37</v>
      </c>
      <c r="E37" s="215" t="s">
        <v>401</v>
      </c>
      <c r="F37" s="170"/>
      <c r="G37" s="170"/>
      <c r="H37" s="170"/>
      <c r="I37" s="171"/>
    </row>
    <row r="38" spans="1:9" ht="35" customHeight="1" x14ac:dyDescent="0.35">
      <c r="A38" s="244"/>
      <c r="B38" s="245"/>
      <c r="C38" s="185">
        <v>3</v>
      </c>
      <c r="D38" s="185" t="s">
        <v>37</v>
      </c>
      <c r="E38" s="215" t="s">
        <v>400</v>
      </c>
      <c r="F38" s="170"/>
      <c r="G38" s="170"/>
      <c r="H38" s="170"/>
      <c r="I38" s="171"/>
    </row>
    <row r="39" spans="1:9" ht="35.15" customHeight="1" thickBot="1" x14ac:dyDescent="0.55000000000000004">
      <c r="A39" s="250" t="s">
        <v>1</v>
      </c>
      <c r="B39" s="251"/>
      <c r="C39" s="190">
        <f>SUM(C11:C38)</f>
        <v>72</v>
      </c>
      <c r="D39" s="190">
        <f>+'מרץ  2026 '!E25</f>
        <v>728</v>
      </c>
      <c r="E39" s="191">
        <f>D39-C39</f>
        <v>656</v>
      </c>
      <c r="F39" s="170"/>
      <c r="G39" s="170"/>
      <c r="H39" s="170"/>
      <c r="I39" s="171"/>
    </row>
    <row r="40" spans="1:9" ht="13.75" customHeight="1" thickTop="1" x14ac:dyDescent="0.35">
      <c r="A40" s="179"/>
      <c r="B40" s="170"/>
      <c r="C40" s="170"/>
      <c r="D40" s="170"/>
      <c r="E40" s="170"/>
      <c r="F40" s="170"/>
      <c r="G40" s="170"/>
      <c r="H40" s="170"/>
      <c r="I40" s="171"/>
    </row>
    <row r="41" spans="1:9" ht="13.75" customHeight="1" thickBot="1" x14ac:dyDescent="0.4">
      <c r="A41" s="179"/>
      <c r="B41" s="170"/>
      <c r="C41" s="170"/>
      <c r="D41" s="170"/>
      <c r="E41" s="170"/>
      <c r="F41" s="170"/>
      <c r="G41" s="170"/>
      <c r="H41" s="170"/>
      <c r="I41" s="171"/>
    </row>
    <row r="42" spans="1:9" ht="30" customHeight="1" thickTop="1" x14ac:dyDescent="0.4">
      <c r="A42" s="252" t="s">
        <v>18</v>
      </c>
      <c r="B42" s="253"/>
      <c r="C42" s="192"/>
      <c r="D42" s="193">
        <v>72</v>
      </c>
      <c r="F42" s="195"/>
      <c r="G42" s="178"/>
      <c r="H42" s="178"/>
      <c r="I42" s="196"/>
    </row>
    <row r="43" spans="1:9" ht="30" customHeight="1" x14ac:dyDescent="0.4">
      <c r="A43" s="254" t="s">
        <v>19</v>
      </c>
      <c r="B43" s="255"/>
      <c r="C43" s="197"/>
      <c r="D43" s="198"/>
      <c r="E43" s="199"/>
      <c r="F43" s="200"/>
      <c r="G43" s="178"/>
      <c r="H43" s="178"/>
      <c r="I43" s="196"/>
    </row>
    <row r="44" spans="1:9" ht="30" customHeight="1" x14ac:dyDescent="0.4">
      <c r="A44" s="254" t="s">
        <v>20</v>
      </c>
      <c r="B44" s="255"/>
      <c r="C44" s="197"/>
      <c r="D44" s="198"/>
      <c r="E44" s="199"/>
      <c r="F44" s="200"/>
      <c r="G44" s="178"/>
      <c r="H44" s="178"/>
      <c r="I44" s="196"/>
    </row>
    <row r="45" spans="1:9" ht="30" customHeight="1" thickBot="1" x14ac:dyDescent="0.45">
      <c r="A45" s="256" t="s">
        <v>21</v>
      </c>
      <c r="B45" s="257"/>
      <c r="C45" s="201"/>
      <c r="D45" s="202"/>
      <c r="E45" s="199"/>
      <c r="F45" s="200"/>
      <c r="G45" s="178"/>
      <c r="H45" s="178"/>
      <c r="I45" s="196"/>
    </row>
    <row r="46" spans="1:9" ht="30" customHeight="1" thickTop="1" thickBot="1" x14ac:dyDescent="0.45">
      <c r="A46" s="258" t="s">
        <v>20</v>
      </c>
      <c r="B46" s="259"/>
      <c r="C46" s="203"/>
      <c r="D46" s="204">
        <f>D45+D44</f>
        <v>0</v>
      </c>
      <c r="E46" s="199"/>
      <c r="F46" s="195"/>
      <c r="G46" s="178"/>
      <c r="H46" s="178"/>
      <c r="I46" s="196"/>
    </row>
    <row r="47" spans="1:9" ht="13.75" customHeight="1" thickTop="1" thickBot="1" x14ac:dyDescent="0.5">
      <c r="A47" s="205"/>
      <c r="B47" s="206"/>
      <c r="C47" s="206"/>
      <c r="D47" s="206"/>
      <c r="E47" s="206"/>
      <c r="F47" s="206"/>
      <c r="G47" s="206"/>
      <c r="H47" s="206"/>
      <c r="I47" s="207"/>
    </row>
    <row r="48" spans="1:9" ht="25" customHeight="1" thickTop="1" thickBot="1" x14ac:dyDescent="0.45">
      <c r="A48" s="260" t="s">
        <v>22</v>
      </c>
      <c r="B48" s="261"/>
      <c r="C48" s="261"/>
      <c r="D48" s="261"/>
      <c r="E48" s="261"/>
      <c r="F48" s="261"/>
      <c r="G48" s="261"/>
      <c r="H48" s="261"/>
      <c r="I48" s="262"/>
    </row>
    <row r="49" spans="1:9" ht="25" customHeight="1" thickTop="1" thickBot="1" x14ac:dyDescent="0.65">
      <c r="A49" s="246" t="s">
        <v>23</v>
      </c>
      <c r="B49" s="247"/>
      <c r="C49" s="208"/>
      <c r="D49" s="209"/>
      <c r="E49" s="210"/>
      <c r="F49" s="211"/>
      <c r="G49" s="194" t="s">
        <v>24</v>
      </c>
      <c r="H49" s="248">
        <v>46142</v>
      </c>
      <c r="I49" s="249"/>
    </row>
    <row r="50" spans="1:9" ht="25" customHeight="1" thickTop="1" thickBot="1" x14ac:dyDescent="0.65">
      <c r="A50" s="263" t="s">
        <v>25</v>
      </c>
      <c r="B50" s="264"/>
      <c r="C50" s="195"/>
      <c r="D50" s="269" t="s">
        <v>26</v>
      </c>
      <c r="E50" s="269"/>
      <c r="F50" s="269"/>
      <c r="G50" s="269"/>
      <c r="H50" s="269"/>
      <c r="I50" s="196"/>
    </row>
    <row r="51" spans="1:9" ht="50" customHeight="1" thickTop="1" x14ac:dyDescent="0.4">
      <c r="A51" s="270" t="s">
        <v>27</v>
      </c>
      <c r="B51" s="271"/>
      <c r="C51" s="271"/>
      <c r="D51" s="271"/>
      <c r="E51" s="271"/>
      <c r="F51" s="211"/>
      <c r="G51" s="271" t="s">
        <v>28</v>
      </c>
      <c r="H51" s="271"/>
      <c r="I51" s="272"/>
    </row>
    <row r="52" spans="1:9" ht="25" customHeight="1" thickBot="1" x14ac:dyDescent="0.45">
      <c r="A52" s="270" t="s">
        <v>29</v>
      </c>
      <c r="B52" s="271"/>
      <c r="C52" s="271"/>
      <c r="D52" s="271"/>
      <c r="E52" s="194" t="s">
        <v>30</v>
      </c>
      <c r="F52" s="194"/>
      <c r="G52" s="273"/>
      <c r="H52" s="273"/>
      <c r="I52" s="212"/>
    </row>
    <row r="53" spans="1:9" ht="25" customHeight="1" thickTop="1" thickBot="1" x14ac:dyDescent="0.45">
      <c r="A53" s="263" t="s">
        <v>30</v>
      </c>
      <c r="B53" s="264"/>
      <c r="C53" s="195"/>
      <c r="D53" s="213"/>
      <c r="E53" s="194" t="s">
        <v>31</v>
      </c>
      <c r="F53" s="194"/>
      <c r="G53" s="265"/>
      <c r="H53" s="265"/>
      <c r="I53" s="196"/>
    </row>
    <row r="54" spans="1:9" ht="25" customHeight="1" thickTop="1" thickBot="1" x14ac:dyDescent="0.45">
      <c r="A54" s="263" t="s">
        <v>23</v>
      </c>
      <c r="B54" s="264"/>
      <c r="C54" s="195"/>
      <c r="D54" s="213"/>
      <c r="E54" s="194" t="s">
        <v>23</v>
      </c>
      <c r="F54" s="194"/>
      <c r="G54" s="213"/>
      <c r="H54" s="194" t="s">
        <v>0</v>
      </c>
      <c r="I54" s="214"/>
    </row>
    <row r="55" spans="1:9" ht="25" customHeight="1" thickTop="1" thickBot="1" x14ac:dyDescent="0.45">
      <c r="A55" s="266" t="s">
        <v>52</v>
      </c>
      <c r="B55" s="267"/>
      <c r="C55" s="267"/>
      <c r="D55" s="267"/>
      <c r="E55" s="267"/>
      <c r="F55" s="267"/>
      <c r="G55" s="267"/>
      <c r="H55" s="267"/>
      <c r="I55" s="268"/>
    </row>
    <row r="56" spans="1:9" ht="14.5" customHeight="1" thickTop="1" x14ac:dyDescent="0.35">
      <c r="A56" s="170"/>
      <c r="B56" s="170"/>
      <c r="C56" s="170"/>
      <c r="D56" s="170"/>
      <c r="E56" s="170"/>
      <c r="F56" s="170"/>
      <c r="G56" s="170"/>
      <c r="H56" s="170"/>
      <c r="I56" s="170"/>
    </row>
  </sheetData>
  <mergeCells count="43">
    <mergeCell ref="A53:B53"/>
    <mergeCell ref="G53:H53"/>
    <mergeCell ref="A54:B54"/>
    <mergeCell ref="A55:I55"/>
    <mergeCell ref="A50:B50"/>
    <mergeCell ref="D50:H50"/>
    <mergeCell ref="A51:E51"/>
    <mergeCell ref="G51:I51"/>
    <mergeCell ref="A52:D52"/>
    <mergeCell ref="G52:H52"/>
    <mergeCell ref="A49:B49"/>
    <mergeCell ref="H49:I49"/>
    <mergeCell ref="A39:B39"/>
    <mergeCell ref="A42:B42"/>
    <mergeCell ref="A43:B43"/>
    <mergeCell ref="A44:B44"/>
    <mergeCell ref="A45:B45"/>
    <mergeCell ref="A46:B46"/>
    <mergeCell ref="A48:I48"/>
    <mergeCell ref="A16:A18"/>
    <mergeCell ref="B16:B18"/>
    <mergeCell ref="A19:A21"/>
    <mergeCell ref="B19:B21"/>
    <mergeCell ref="A14:A15"/>
    <mergeCell ref="B14:B15"/>
    <mergeCell ref="A2:E2"/>
    <mergeCell ref="A4:E4"/>
    <mergeCell ref="C5:D5"/>
    <mergeCell ref="C6:D7"/>
    <mergeCell ref="A11:A12"/>
    <mergeCell ref="B11:B12"/>
    <mergeCell ref="A22:A23"/>
    <mergeCell ref="B22:B23"/>
    <mergeCell ref="A25:A27"/>
    <mergeCell ref="B25:B27"/>
    <mergeCell ref="A28:A30"/>
    <mergeCell ref="B28:B30"/>
    <mergeCell ref="A37:A38"/>
    <mergeCell ref="B37:B38"/>
    <mergeCell ref="A33:A35"/>
    <mergeCell ref="B33:B35"/>
    <mergeCell ref="A31:A32"/>
    <mergeCell ref="B31:B32"/>
  </mergeCells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19</vt:i4>
      </vt:variant>
      <vt:variant>
        <vt:lpstr>טווחים בעלי שם</vt:lpstr>
      </vt:variant>
      <vt:variant>
        <vt:i4>15</vt:i4>
      </vt:variant>
    </vt:vector>
  </HeadingPairs>
  <TitlesOfParts>
    <vt:vector size="34" baseType="lpstr">
      <vt:lpstr>תעריפים</vt:lpstr>
      <vt:lpstr>דצמבר 2024</vt:lpstr>
      <vt:lpstr>ינואר 2025</vt:lpstr>
      <vt:lpstr>פברואר 2025</vt:lpstr>
      <vt:lpstr>מרץ 2025 </vt:lpstr>
      <vt:lpstr>אפריל 2025  </vt:lpstr>
      <vt:lpstr>מאי 2025 </vt:lpstr>
      <vt:lpstr>יוני 2025  </vt:lpstr>
      <vt:lpstr>יולי 2025  </vt:lpstr>
      <vt:lpstr>אוג 2025 </vt:lpstr>
      <vt:lpstr>ספט 2025  </vt:lpstr>
      <vt:lpstr>אוקטובר 2025   </vt:lpstr>
      <vt:lpstr>נובמבר 2025  </vt:lpstr>
      <vt:lpstr>דצמבר 2025 </vt:lpstr>
      <vt:lpstr>ינואר 2026</vt:lpstr>
      <vt:lpstr>פברואר  2026 </vt:lpstr>
      <vt:lpstr>מרץ  2026 </vt:lpstr>
      <vt:lpstr> אפריל 2026 </vt:lpstr>
      <vt:lpstr>גיליון2</vt:lpstr>
      <vt:lpstr>' אפריל 2026 '!WPrint_Area_W</vt:lpstr>
      <vt:lpstr>'אוג 2025 '!WPrint_Area_W</vt:lpstr>
      <vt:lpstr>'אוקטובר 2025   '!WPrint_Area_W</vt:lpstr>
      <vt:lpstr>'אפריל 2025  '!WPrint_Area_W</vt:lpstr>
      <vt:lpstr>'דצמבר 2025 '!WPrint_Area_W</vt:lpstr>
      <vt:lpstr>'יולי 2025  '!WPrint_Area_W</vt:lpstr>
      <vt:lpstr>'יוני 2025  '!WPrint_Area_W</vt:lpstr>
      <vt:lpstr>'ינואר 2026'!WPrint_Area_W</vt:lpstr>
      <vt:lpstr>'מאי 2025 '!WPrint_Area_W</vt:lpstr>
      <vt:lpstr>'מרץ  2026 '!WPrint_Area_W</vt:lpstr>
      <vt:lpstr>'מרץ 2025 '!WPrint_Area_W</vt:lpstr>
      <vt:lpstr>'נובמבר 2025  '!WPrint_Area_W</vt:lpstr>
      <vt:lpstr>'ספט 2025  '!WPrint_Area_W</vt:lpstr>
      <vt:lpstr>'פברואר  2026 '!WPrint_Area_W</vt:lpstr>
      <vt:lpstr>'פברואר 2025'!WPrint_Area_W</vt:lpstr>
    </vt:vector>
  </TitlesOfParts>
  <Company>Israel Airport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Shirly Amir</dc:creator>
  <cp:lastModifiedBy>אהובה אליה</cp:lastModifiedBy>
  <cp:lastPrinted>2026-07-30T08:04:37Z</cp:lastPrinted>
  <dcterms:created xsi:type="dcterms:W3CDTF">2024-05-01T07:43:23Z</dcterms:created>
  <dcterms:modified xsi:type="dcterms:W3CDTF">2026-07-30T08:05:06Z</dcterms:modified>
</cp:coreProperties>
</file>